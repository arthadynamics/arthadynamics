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87b8b1113e7a8f/Desktop/arthadynamics-core/validation/"/>
    </mc:Choice>
  </mc:AlternateContent>
  <xr:revisionPtr revIDLastSave="107" documentId="8_{C15E5CC8-6E1C-49C6-96B8-95B7257F7148}" xr6:coauthVersionLast="47" xr6:coauthVersionMax="47" xr10:uidLastSave="{63FCACC0-0B6C-4515-882D-147296C667FC}"/>
  <bookViews>
    <workbookView xWindow="14184" yWindow="0" windowWidth="8952" windowHeight="12336" xr2:uid="{4029501A-A349-43A7-BEFC-ACAC47A74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20" i="1"/>
  <c r="G20" i="1" s="1"/>
  <c r="B22" i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1" i="1"/>
  <c r="B20" i="1"/>
  <c r="B16" i="1"/>
  <c r="H20" i="1"/>
  <c r="B11" i="1"/>
  <c r="E20" i="1"/>
  <c r="A21" i="1" l="1"/>
  <c r="C20" i="1"/>
  <c r="B6" i="1"/>
  <c r="B7" i="1" s="1"/>
  <c r="H21" i="1" l="1"/>
  <c r="A22" i="1"/>
  <c r="E21" i="1"/>
  <c r="I20" i="1" l="1"/>
  <c r="C21" i="1" s="1"/>
  <c r="F21" i="1" s="1"/>
  <c r="H22" i="1"/>
  <c r="A23" i="1"/>
  <c r="E22" i="1"/>
  <c r="G21" i="1" l="1"/>
  <c r="I21" i="1" s="1"/>
  <c r="C22" i="1" s="1"/>
  <c r="F22" i="1" s="1"/>
  <c r="G22" i="1" s="1"/>
  <c r="H23" i="1"/>
  <c r="A24" i="1"/>
  <c r="E23" i="1"/>
  <c r="H24" i="1" l="1"/>
  <c r="A25" i="1"/>
  <c r="E24" i="1"/>
  <c r="H25" i="1" l="1"/>
  <c r="A26" i="1"/>
  <c r="E25" i="1"/>
  <c r="H26" i="1" l="1"/>
  <c r="I22" i="1"/>
  <c r="C23" i="1" s="1"/>
  <c r="F23" i="1" s="1"/>
  <c r="G23" i="1" s="1"/>
  <c r="A27" i="1"/>
  <c r="E26" i="1"/>
  <c r="H27" i="1" l="1"/>
  <c r="I23" i="1"/>
  <c r="C24" i="1" s="1"/>
  <c r="F24" i="1" s="1"/>
  <c r="G24" i="1" s="1"/>
  <c r="A28" i="1"/>
  <c r="E27" i="1"/>
  <c r="H28" i="1" l="1"/>
  <c r="A29" i="1"/>
  <c r="E28" i="1"/>
  <c r="H29" i="1" l="1"/>
  <c r="A30" i="1"/>
  <c r="E29" i="1"/>
  <c r="H30" i="1" l="1"/>
  <c r="I24" i="1"/>
  <c r="C25" i="1" s="1"/>
  <c r="F25" i="1" s="1"/>
  <c r="G25" i="1" s="1"/>
  <c r="A31" i="1"/>
  <c r="E30" i="1"/>
  <c r="H31" i="1" l="1"/>
  <c r="I25" i="1"/>
  <c r="A32" i="1"/>
  <c r="E31" i="1"/>
  <c r="H32" i="1" l="1"/>
  <c r="C26" i="1"/>
  <c r="F26" i="1" s="1"/>
  <c r="G26" i="1" s="1"/>
  <c r="A33" i="1"/>
  <c r="E32" i="1"/>
  <c r="H33" i="1" l="1"/>
  <c r="A34" i="1"/>
  <c r="E33" i="1"/>
  <c r="H34" i="1" l="1"/>
  <c r="I26" i="1"/>
  <c r="C27" i="1" s="1"/>
  <c r="F27" i="1" s="1"/>
  <c r="G27" i="1" s="1"/>
  <c r="A35" i="1"/>
  <c r="E34" i="1"/>
  <c r="H35" i="1" l="1"/>
  <c r="A36" i="1"/>
  <c r="E35" i="1"/>
  <c r="H36" i="1" l="1"/>
  <c r="I27" i="1"/>
  <c r="C28" i="1" s="1"/>
  <c r="F28" i="1" s="1"/>
  <c r="G28" i="1" s="1"/>
  <c r="A37" i="1"/>
  <c r="E36" i="1"/>
  <c r="H37" i="1" l="1"/>
  <c r="A38" i="1"/>
  <c r="E37" i="1"/>
  <c r="H38" i="1" l="1"/>
  <c r="I28" i="1"/>
  <c r="C29" i="1" s="1"/>
  <c r="F29" i="1" s="1"/>
  <c r="G29" i="1" s="1"/>
  <c r="A39" i="1"/>
  <c r="E38" i="1"/>
  <c r="H39" i="1" l="1"/>
  <c r="A40" i="1"/>
  <c r="E39" i="1"/>
  <c r="H40" i="1" l="1"/>
  <c r="I29" i="1"/>
  <c r="C30" i="1" s="1"/>
  <c r="F30" i="1" s="1"/>
  <c r="G30" i="1" s="1"/>
  <c r="A41" i="1"/>
  <c r="E40" i="1"/>
  <c r="H41" i="1" l="1"/>
  <c r="A42" i="1"/>
  <c r="E41" i="1"/>
  <c r="H42" i="1" l="1"/>
  <c r="I30" i="1"/>
  <c r="C31" i="1" s="1"/>
  <c r="F31" i="1" s="1"/>
  <c r="G31" i="1" s="1"/>
  <c r="A43" i="1"/>
  <c r="E42" i="1"/>
  <c r="H43" i="1" l="1"/>
  <c r="I31" i="1"/>
  <c r="C32" i="1" s="1"/>
  <c r="F32" i="1" s="1"/>
  <c r="G32" i="1" s="1"/>
  <c r="A44" i="1"/>
  <c r="H44" i="1" s="1"/>
  <c r="E43" i="1"/>
  <c r="I32" i="1" l="1"/>
  <c r="A45" i="1"/>
  <c r="H45" i="1" s="1"/>
  <c r="E44" i="1"/>
  <c r="C33" i="1" l="1"/>
  <c r="F33" i="1" s="1"/>
  <c r="G33" i="1" s="1"/>
  <c r="A46" i="1"/>
  <c r="H46" i="1" s="1"/>
  <c r="E45" i="1"/>
  <c r="I33" i="1" l="1"/>
  <c r="A47" i="1"/>
  <c r="H47" i="1" s="1"/>
  <c r="E46" i="1"/>
  <c r="C34" i="1" l="1"/>
  <c r="F34" i="1" s="1"/>
  <c r="G34" i="1" s="1"/>
  <c r="A48" i="1"/>
  <c r="H48" i="1" s="1"/>
  <c r="E47" i="1"/>
  <c r="A49" i="1" l="1"/>
  <c r="H49" i="1" s="1"/>
  <c r="E48" i="1"/>
  <c r="A50" i="1" l="1"/>
  <c r="H50" i="1" s="1"/>
  <c r="E49" i="1"/>
  <c r="I34" i="1" l="1"/>
  <c r="C35" i="1" s="1"/>
  <c r="F35" i="1" s="1"/>
  <c r="G35" i="1" s="1"/>
  <c r="A51" i="1"/>
  <c r="H51" i="1" s="1"/>
  <c r="E50" i="1"/>
  <c r="I35" i="1" l="1"/>
  <c r="C36" i="1" s="1"/>
  <c r="F36" i="1" s="1"/>
  <c r="G36" i="1" s="1"/>
  <c r="A52" i="1"/>
  <c r="H52" i="1" s="1"/>
  <c r="E51" i="1"/>
  <c r="A53" i="1" l="1"/>
  <c r="H53" i="1" s="1"/>
  <c r="E52" i="1"/>
  <c r="A54" i="1" l="1"/>
  <c r="H54" i="1" s="1"/>
  <c r="E53" i="1"/>
  <c r="I36" i="1" l="1"/>
  <c r="C37" i="1" s="1"/>
  <c r="F37" i="1" s="1"/>
  <c r="G37" i="1" s="1"/>
  <c r="A55" i="1"/>
  <c r="H55" i="1" s="1"/>
  <c r="E54" i="1"/>
  <c r="I37" i="1" l="1"/>
  <c r="C38" i="1" s="1"/>
  <c r="A56" i="1"/>
  <c r="H56" i="1" s="1"/>
  <c r="E55" i="1"/>
  <c r="B12" i="1" l="1"/>
  <c r="F38" i="1"/>
  <c r="G38" i="1" s="1"/>
  <c r="D45" i="1"/>
  <c r="D53" i="1"/>
  <c r="D61" i="1"/>
  <c r="D69" i="1"/>
  <c r="D77" i="1"/>
  <c r="D59" i="1"/>
  <c r="D46" i="1"/>
  <c r="D54" i="1"/>
  <c r="D62" i="1"/>
  <c r="D70" i="1"/>
  <c r="D78" i="1"/>
  <c r="D75" i="1"/>
  <c r="D47" i="1"/>
  <c r="D55" i="1"/>
  <c r="D63" i="1"/>
  <c r="D71" i="1"/>
  <c r="D79" i="1"/>
  <c r="D48" i="1"/>
  <c r="D56" i="1"/>
  <c r="D64" i="1"/>
  <c r="D72" i="1"/>
  <c r="D67" i="1"/>
  <c r="D49" i="1"/>
  <c r="D57" i="1"/>
  <c r="D65" i="1"/>
  <c r="D73" i="1"/>
  <c r="D50" i="1"/>
  <c r="D58" i="1"/>
  <c r="D66" i="1"/>
  <c r="D74" i="1"/>
  <c r="D44" i="1"/>
  <c r="D52" i="1"/>
  <c r="D60" i="1"/>
  <c r="D68" i="1"/>
  <c r="D76" i="1"/>
  <c r="D51" i="1"/>
  <c r="I38" i="1"/>
  <c r="A57" i="1"/>
  <c r="H57" i="1" s="1"/>
  <c r="E56" i="1"/>
  <c r="C39" i="1" l="1"/>
  <c r="F39" i="1" s="1"/>
  <c r="G39" i="1" s="1"/>
  <c r="A58" i="1"/>
  <c r="H58" i="1" s="1"/>
  <c r="E57" i="1"/>
  <c r="I39" i="1" l="1"/>
  <c r="A59" i="1"/>
  <c r="H59" i="1" s="1"/>
  <c r="E58" i="1"/>
  <c r="C40" i="1" l="1"/>
  <c r="F40" i="1" s="1"/>
  <c r="G40" i="1" s="1"/>
  <c r="A60" i="1"/>
  <c r="H60" i="1" s="1"/>
  <c r="E59" i="1"/>
  <c r="I40" i="1" l="1"/>
  <c r="A61" i="1"/>
  <c r="H61" i="1" s="1"/>
  <c r="E60" i="1"/>
  <c r="C41" i="1" l="1"/>
  <c r="F41" i="1" s="1"/>
  <c r="G41" i="1" s="1"/>
  <c r="A62" i="1"/>
  <c r="H62" i="1" s="1"/>
  <c r="E61" i="1"/>
  <c r="I41" i="1" l="1"/>
  <c r="A63" i="1"/>
  <c r="H63" i="1" s="1"/>
  <c r="E62" i="1"/>
  <c r="C42" i="1" l="1"/>
  <c r="F42" i="1" s="1"/>
  <c r="G42" i="1" s="1"/>
  <c r="A64" i="1"/>
  <c r="H64" i="1" s="1"/>
  <c r="E63" i="1"/>
  <c r="A65" i="1" l="1"/>
  <c r="H65" i="1" s="1"/>
  <c r="E64" i="1"/>
  <c r="A66" i="1" l="1"/>
  <c r="H66" i="1" s="1"/>
  <c r="E65" i="1"/>
  <c r="I42" i="1" l="1"/>
  <c r="C43" i="1" s="1"/>
  <c r="F43" i="1" s="1"/>
  <c r="G43" i="1" s="1"/>
  <c r="A67" i="1"/>
  <c r="H67" i="1" s="1"/>
  <c r="E66" i="1"/>
  <c r="A68" i="1" l="1"/>
  <c r="H68" i="1" s="1"/>
  <c r="E67" i="1"/>
  <c r="I43" i="1" l="1"/>
  <c r="C44" i="1" s="1"/>
  <c r="F44" i="1" s="1"/>
  <c r="G44" i="1" s="1"/>
  <c r="A69" i="1"/>
  <c r="H69" i="1" s="1"/>
  <c r="E68" i="1"/>
  <c r="A70" i="1" l="1"/>
  <c r="H70" i="1" s="1"/>
  <c r="E69" i="1"/>
  <c r="I44" i="1" l="1"/>
  <c r="C45" i="1" s="1"/>
  <c r="F45" i="1" s="1"/>
  <c r="G45" i="1" s="1"/>
  <c r="A71" i="1"/>
  <c r="H71" i="1" s="1"/>
  <c r="E70" i="1"/>
  <c r="A72" i="1" l="1"/>
  <c r="E71" i="1"/>
  <c r="H72" i="1" l="1"/>
  <c r="A73" i="1"/>
  <c r="E72" i="1"/>
  <c r="H73" i="1" l="1"/>
  <c r="I45" i="1"/>
  <c r="C46" i="1" s="1"/>
  <c r="F46" i="1" s="1"/>
  <c r="G46" i="1" s="1"/>
  <c r="A74" i="1"/>
  <c r="E73" i="1"/>
  <c r="H74" i="1" l="1"/>
  <c r="I46" i="1"/>
  <c r="A75" i="1"/>
  <c r="E74" i="1"/>
  <c r="H75" i="1" l="1"/>
  <c r="C47" i="1"/>
  <c r="F47" i="1" s="1"/>
  <c r="G47" i="1" s="1"/>
  <c r="A76" i="1"/>
  <c r="E75" i="1"/>
  <c r="H76" i="1" l="1"/>
  <c r="A77" i="1"/>
  <c r="E76" i="1"/>
  <c r="H77" i="1" l="1"/>
  <c r="I47" i="1"/>
  <c r="C48" i="1" s="1"/>
  <c r="F48" i="1" s="1"/>
  <c r="G48" i="1" s="1"/>
  <c r="A78" i="1"/>
  <c r="E77" i="1"/>
  <c r="H78" i="1" l="1"/>
  <c r="I48" i="1"/>
  <c r="A79" i="1"/>
  <c r="E78" i="1"/>
  <c r="H79" i="1" l="1"/>
  <c r="C49" i="1"/>
  <c r="F49" i="1" s="1"/>
  <c r="G49" i="1" s="1"/>
  <c r="A80" i="1"/>
  <c r="H80" i="1" s="1"/>
  <c r="E79" i="1"/>
  <c r="I49" i="1" l="1"/>
  <c r="C50" i="1" s="1"/>
  <c r="F50" i="1" s="1"/>
  <c r="G50" i="1" s="1"/>
  <c r="A81" i="1"/>
  <c r="H81" i="1" s="1"/>
  <c r="E80" i="1"/>
  <c r="A82" i="1" l="1"/>
  <c r="H82" i="1" s="1"/>
  <c r="E81" i="1"/>
  <c r="A83" i="1" l="1"/>
  <c r="H83" i="1" s="1"/>
  <c r="E82" i="1"/>
  <c r="I50" i="1" l="1"/>
  <c r="C51" i="1" s="1"/>
  <c r="F51" i="1" s="1"/>
  <c r="G51" i="1" s="1"/>
  <c r="A84" i="1"/>
  <c r="H84" i="1" s="1"/>
  <c r="E83" i="1"/>
  <c r="I51" i="1" l="1"/>
  <c r="C52" i="1" s="1"/>
  <c r="F52" i="1" s="1"/>
  <c r="G52" i="1" s="1"/>
  <c r="A85" i="1"/>
  <c r="H85" i="1" s="1"/>
  <c r="E84" i="1"/>
  <c r="I52" i="1" l="1"/>
  <c r="A86" i="1"/>
  <c r="H86" i="1" s="1"/>
  <c r="E85" i="1"/>
  <c r="C53" i="1" l="1"/>
  <c r="F53" i="1" s="1"/>
  <c r="G53" i="1" s="1"/>
  <c r="A87" i="1"/>
  <c r="H87" i="1" s="1"/>
  <c r="E86" i="1"/>
  <c r="A88" i="1" l="1"/>
  <c r="H88" i="1" s="1"/>
  <c r="E87" i="1"/>
  <c r="I53" i="1" l="1"/>
  <c r="C54" i="1" s="1"/>
  <c r="F54" i="1" s="1"/>
  <c r="G54" i="1" s="1"/>
  <c r="A89" i="1"/>
  <c r="H89" i="1" s="1"/>
  <c r="E88" i="1"/>
  <c r="A90" i="1" l="1"/>
  <c r="H90" i="1" s="1"/>
  <c r="E89" i="1"/>
  <c r="A91" i="1" l="1"/>
  <c r="H91" i="1" s="1"/>
  <c r="E90" i="1"/>
  <c r="I54" i="1" l="1"/>
  <c r="C55" i="1" s="1"/>
  <c r="F55" i="1" s="1"/>
  <c r="G55" i="1" s="1"/>
  <c r="A92" i="1"/>
  <c r="H92" i="1" s="1"/>
  <c r="E91" i="1"/>
  <c r="I55" i="1" l="1"/>
  <c r="A93" i="1"/>
  <c r="H93" i="1" s="1"/>
  <c r="E92" i="1"/>
  <c r="C56" i="1" l="1"/>
  <c r="F56" i="1" s="1"/>
  <c r="G56" i="1" s="1"/>
  <c r="A94" i="1"/>
  <c r="H94" i="1" s="1"/>
  <c r="E93" i="1"/>
  <c r="A95" i="1" l="1"/>
  <c r="H95" i="1" s="1"/>
  <c r="E94" i="1"/>
  <c r="I56" i="1" l="1"/>
  <c r="C57" i="1" s="1"/>
  <c r="F57" i="1" s="1"/>
  <c r="G57" i="1" s="1"/>
  <c r="A96" i="1"/>
  <c r="H96" i="1" s="1"/>
  <c r="E95" i="1"/>
  <c r="I57" i="1" l="1"/>
  <c r="C58" i="1" s="1"/>
  <c r="F58" i="1" s="1"/>
  <c r="G58" i="1" s="1"/>
  <c r="A97" i="1"/>
  <c r="H97" i="1" s="1"/>
  <c r="E96" i="1"/>
  <c r="I58" i="1" l="1"/>
  <c r="A98" i="1"/>
  <c r="H98" i="1" s="1"/>
  <c r="E97" i="1"/>
  <c r="C59" i="1" l="1"/>
  <c r="F59" i="1" s="1"/>
  <c r="G59" i="1" s="1"/>
  <c r="A99" i="1"/>
  <c r="H99" i="1" s="1"/>
  <c r="E98" i="1"/>
  <c r="I59" i="1" l="1"/>
  <c r="A100" i="1"/>
  <c r="H100" i="1" s="1"/>
  <c r="E99" i="1"/>
  <c r="C60" i="1" l="1"/>
  <c r="F60" i="1" s="1"/>
  <c r="G60" i="1" s="1"/>
  <c r="A101" i="1"/>
  <c r="H101" i="1" s="1"/>
  <c r="E100" i="1"/>
  <c r="A102" i="1" l="1"/>
  <c r="H102" i="1" s="1"/>
  <c r="E101" i="1"/>
  <c r="A103" i="1" l="1"/>
  <c r="H103" i="1" s="1"/>
  <c r="E102" i="1"/>
  <c r="I60" i="1" l="1"/>
  <c r="C61" i="1" s="1"/>
  <c r="F61" i="1" s="1"/>
  <c r="G61" i="1" s="1"/>
  <c r="A104" i="1"/>
  <c r="H104" i="1" s="1"/>
  <c r="E103" i="1"/>
  <c r="I61" i="1" l="1"/>
  <c r="C62" i="1" s="1"/>
  <c r="F62" i="1" s="1"/>
  <c r="G62" i="1" s="1"/>
  <c r="A105" i="1"/>
  <c r="H105" i="1" s="1"/>
  <c r="E104" i="1"/>
  <c r="A106" i="1" l="1"/>
  <c r="H106" i="1" s="1"/>
  <c r="E105" i="1"/>
  <c r="A107" i="1" l="1"/>
  <c r="H107" i="1" s="1"/>
  <c r="E106" i="1"/>
  <c r="I62" i="1" l="1"/>
  <c r="C63" i="1" s="1"/>
  <c r="F63" i="1" s="1"/>
  <c r="G63" i="1" s="1"/>
  <c r="A108" i="1"/>
  <c r="H108" i="1" s="1"/>
  <c r="E107" i="1"/>
  <c r="I63" i="1" l="1"/>
  <c r="C64" i="1" s="1"/>
  <c r="F64" i="1" s="1"/>
  <c r="G64" i="1" s="1"/>
  <c r="A109" i="1"/>
  <c r="H109" i="1" s="1"/>
  <c r="E108" i="1"/>
  <c r="I64" i="1" l="1"/>
  <c r="A110" i="1"/>
  <c r="H110" i="1" s="1"/>
  <c r="E109" i="1"/>
  <c r="C65" i="1" l="1"/>
  <c r="F65" i="1" s="1"/>
  <c r="G65" i="1" s="1"/>
  <c r="A111" i="1"/>
  <c r="H111" i="1" s="1"/>
  <c r="E110" i="1"/>
  <c r="I65" i="1" l="1"/>
  <c r="A112" i="1"/>
  <c r="H112" i="1" s="1"/>
  <c r="E111" i="1"/>
  <c r="C66" i="1" l="1"/>
  <c r="F66" i="1" s="1"/>
  <c r="G66" i="1" s="1"/>
  <c r="A113" i="1"/>
  <c r="H113" i="1" s="1"/>
  <c r="E112" i="1"/>
  <c r="I66" i="1" l="1"/>
  <c r="A114" i="1"/>
  <c r="H114" i="1" s="1"/>
  <c r="E113" i="1"/>
  <c r="C67" i="1" l="1"/>
  <c r="F67" i="1" s="1"/>
  <c r="G67" i="1" s="1"/>
  <c r="A115" i="1"/>
  <c r="H115" i="1" s="1"/>
  <c r="E114" i="1"/>
  <c r="I67" i="1" l="1"/>
  <c r="A116" i="1"/>
  <c r="H116" i="1" s="1"/>
  <c r="E115" i="1"/>
  <c r="C68" i="1" l="1"/>
  <c r="F68" i="1" s="1"/>
  <c r="G68" i="1" s="1"/>
  <c r="A117" i="1"/>
  <c r="H117" i="1" s="1"/>
  <c r="E116" i="1"/>
  <c r="I68" i="1" l="1"/>
  <c r="A118" i="1"/>
  <c r="H118" i="1" s="1"/>
  <c r="E117" i="1"/>
  <c r="C69" i="1" l="1"/>
  <c r="F69" i="1" s="1"/>
  <c r="G69" i="1" s="1"/>
  <c r="A119" i="1"/>
  <c r="H119" i="1" s="1"/>
  <c r="E118" i="1"/>
  <c r="I69" i="1" l="1"/>
  <c r="A120" i="1"/>
  <c r="H120" i="1" s="1"/>
  <c r="E119" i="1"/>
  <c r="C70" i="1" l="1"/>
  <c r="F70" i="1" s="1"/>
  <c r="G70" i="1" s="1"/>
  <c r="A121" i="1"/>
  <c r="H121" i="1" s="1"/>
  <c r="E120" i="1"/>
  <c r="A122" i="1" l="1"/>
  <c r="H122" i="1" s="1"/>
  <c r="E121" i="1"/>
  <c r="A123" i="1" l="1"/>
  <c r="H123" i="1" s="1"/>
  <c r="E122" i="1"/>
  <c r="I70" i="1" l="1"/>
  <c r="C71" i="1" s="1"/>
  <c r="F71" i="1" s="1"/>
  <c r="G71" i="1" s="1"/>
  <c r="A124" i="1"/>
  <c r="H124" i="1" s="1"/>
  <c r="E123" i="1"/>
  <c r="I71" i="1" l="1"/>
  <c r="C72" i="1" s="1"/>
  <c r="F72" i="1" s="1"/>
  <c r="G72" i="1" s="1"/>
  <c r="A125" i="1"/>
  <c r="H125" i="1" s="1"/>
  <c r="E124" i="1"/>
  <c r="A126" i="1" l="1"/>
  <c r="H126" i="1" s="1"/>
  <c r="E125" i="1"/>
  <c r="A127" i="1" l="1"/>
  <c r="H127" i="1" s="1"/>
  <c r="E126" i="1"/>
  <c r="I72" i="1" l="1"/>
  <c r="C73" i="1" s="1"/>
  <c r="F73" i="1" s="1"/>
  <c r="G73" i="1" s="1"/>
  <c r="A128" i="1"/>
  <c r="H128" i="1" s="1"/>
  <c r="E127" i="1"/>
  <c r="I73" i="1" l="1"/>
  <c r="C74" i="1" s="1"/>
  <c r="F74" i="1" s="1"/>
  <c r="G74" i="1" s="1"/>
  <c r="A129" i="1"/>
  <c r="H129" i="1" s="1"/>
  <c r="E128" i="1"/>
  <c r="A130" i="1" l="1"/>
  <c r="H130" i="1" s="1"/>
  <c r="E129" i="1"/>
  <c r="I74" i="1" l="1"/>
  <c r="C75" i="1" s="1"/>
  <c r="F75" i="1" s="1"/>
  <c r="G75" i="1" s="1"/>
  <c r="A131" i="1"/>
  <c r="H131" i="1" s="1"/>
  <c r="E130" i="1"/>
  <c r="A132" i="1" l="1"/>
  <c r="H132" i="1" s="1"/>
  <c r="E131" i="1"/>
  <c r="A133" i="1" l="1"/>
  <c r="H133" i="1" s="1"/>
  <c r="E132" i="1"/>
  <c r="I75" i="1" l="1"/>
  <c r="C76" i="1" s="1"/>
  <c r="F76" i="1" s="1"/>
  <c r="G76" i="1" s="1"/>
  <c r="A134" i="1"/>
  <c r="H134" i="1" s="1"/>
  <c r="E133" i="1"/>
  <c r="I76" i="1" l="1"/>
  <c r="C77" i="1" s="1"/>
  <c r="F77" i="1" s="1"/>
  <c r="G77" i="1" s="1"/>
  <c r="A135" i="1"/>
  <c r="H135" i="1" s="1"/>
  <c r="E134" i="1"/>
  <c r="I77" i="1" l="1"/>
  <c r="A136" i="1"/>
  <c r="H136" i="1" s="1"/>
  <c r="E135" i="1"/>
  <c r="C78" i="1" l="1"/>
  <c r="F78" i="1" s="1"/>
  <c r="G78" i="1" s="1"/>
  <c r="A137" i="1"/>
  <c r="H137" i="1" s="1"/>
  <c r="E136" i="1"/>
  <c r="A138" i="1" l="1"/>
  <c r="H138" i="1" s="1"/>
  <c r="E137" i="1"/>
  <c r="A139" i="1" l="1"/>
  <c r="H139" i="1" s="1"/>
  <c r="E138" i="1"/>
  <c r="I78" i="1" l="1"/>
  <c r="C79" i="1" s="1"/>
  <c r="F79" i="1" s="1"/>
  <c r="G79" i="1" s="1"/>
  <c r="A140" i="1"/>
  <c r="H140" i="1" s="1"/>
  <c r="E139" i="1"/>
  <c r="I79" i="1" l="1"/>
  <c r="B17" i="1" s="1"/>
  <c r="A141" i="1"/>
  <c r="H141" i="1" s="1"/>
  <c r="E140" i="1"/>
  <c r="D85" i="1" l="1"/>
  <c r="D93" i="1"/>
  <c r="D101" i="1"/>
  <c r="D109" i="1"/>
  <c r="D117" i="1"/>
  <c r="D125" i="1"/>
  <c r="D133" i="1"/>
  <c r="D141" i="1"/>
  <c r="D149" i="1"/>
  <c r="D157" i="1"/>
  <c r="D165" i="1"/>
  <c r="D173" i="1"/>
  <c r="D181" i="1"/>
  <c r="D189" i="1"/>
  <c r="D197" i="1"/>
  <c r="D205" i="1"/>
  <c r="D213" i="1"/>
  <c r="D221" i="1"/>
  <c r="D229" i="1"/>
  <c r="D237" i="1"/>
  <c r="D253" i="1"/>
  <c r="D238" i="1"/>
  <c r="D256" i="1"/>
  <c r="D107" i="1"/>
  <c r="D163" i="1"/>
  <c r="D203" i="1"/>
  <c r="D251" i="1"/>
  <c r="D86" i="1"/>
  <c r="D94" i="1"/>
  <c r="D102" i="1"/>
  <c r="D110" i="1"/>
  <c r="D118" i="1"/>
  <c r="D126" i="1"/>
  <c r="D134" i="1"/>
  <c r="D142" i="1"/>
  <c r="D150" i="1"/>
  <c r="D158" i="1"/>
  <c r="D166" i="1"/>
  <c r="D174" i="1"/>
  <c r="D182" i="1"/>
  <c r="D190" i="1"/>
  <c r="D198" i="1"/>
  <c r="D206" i="1"/>
  <c r="D214" i="1"/>
  <c r="D222" i="1"/>
  <c r="D230" i="1"/>
  <c r="D246" i="1"/>
  <c r="D139" i="1"/>
  <c r="D211" i="1"/>
  <c r="D87" i="1"/>
  <c r="D95" i="1"/>
  <c r="D103" i="1"/>
  <c r="D111" i="1"/>
  <c r="D119" i="1"/>
  <c r="D127" i="1"/>
  <c r="D135" i="1"/>
  <c r="D143" i="1"/>
  <c r="D151" i="1"/>
  <c r="D159" i="1"/>
  <c r="D167" i="1"/>
  <c r="D175" i="1"/>
  <c r="D183" i="1"/>
  <c r="D191" i="1"/>
  <c r="D199" i="1"/>
  <c r="D207" i="1"/>
  <c r="D215" i="1"/>
  <c r="D223" i="1"/>
  <c r="D231" i="1"/>
  <c r="D239" i="1"/>
  <c r="D247" i="1"/>
  <c r="D255" i="1"/>
  <c r="D240" i="1"/>
  <c r="D99" i="1"/>
  <c r="D155" i="1"/>
  <c r="D195" i="1"/>
  <c r="D243" i="1"/>
  <c r="D80" i="1"/>
  <c r="D88" i="1"/>
  <c r="D96" i="1"/>
  <c r="D104" i="1"/>
  <c r="D112" i="1"/>
  <c r="D120" i="1"/>
  <c r="D128" i="1"/>
  <c r="D136" i="1"/>
  <c r="D144" i="1"/>
  <c r="D152" i="1"/>
  <c r="D160" i="1"/>
  <c r="D168" i="1"/>
  <c r="D176" i="1"/>
  <c r="D184" i="1"/>
  <c r="D192" i="1"/>
  <c r="D200" i="1"/>
  <c r="D208" i="1"/>
  <c r="D216" i="1"/>
  <c r="D224" i="1"/>
  <c r="D232" i="1"/>
  <c r="D248" i="1"/>
  <c r="D147" i="1"/>
  <c r="D219" i="1"/>
  <c r="D81" i="1"/>
  <c r="D89" i="1"/>
  <c r="D97" i="1"/>
  <c r="D105" i="1"/>
  <c r="D113" i="1"/>
  <c r="D121" i="1"/>
  <c r="D129" i="1"/>
  <c r="D137" i="1"/>
  <c r="D145" i="1"/>
  <c r="D153" i="1"/>
  <c r="D161" i="1"/>
  <c r="D169" i="1"/>
  <c r="D177" i="1"/>
  <c r="D185" i="1"/>
  <c r="D193" i="1"/>
  <c r="D201" i="1"/>
  <c r="D209" i="1"/>
  <c r="D217" i="1"/>
  <c r="D225" i="1"/>
  <c r="D233" i="1"/>
  <c r="D241" i="1"/>
  <c r="D249" i="1"/>
  <c r="D257" i="1"/>
  <c r="D234" i="1"/>
  <c r="D250" i="1"/>
  <c r="D83" i="1"/>
  <c r="D123" i="1"/>
  <c r="D171" i="1"/>
  <c r="D227" i="1"/>
  <c r="D82" i="1"/>
  <c r="D90" i="1"/>
  <c r="D98" i="1"/>
  <c r="D106" i="1"/>
  <c r="D114" i="1"/>
  <c r="D122" i="1"/>
  <c r="D130" i="1"/>
  <c r="D138" i="1"/>
  <c r="D146" i="1"/>
  <c r="D154" i="1"/>
  <c r="D162" i="1"/>
  <c r="D170" i="1"/>
  <c r="D178" i="1"/>
  <c r="D186" i="1"/>
  <c r="D194" i="1"/>
  <c r="D202" i="1"/>
  <c r="D210" i="1"/>
  <c r="D218" i="1"/>
  <c r="D226" i="1"/>
  <c r="D242" i="1"/>
  <c r="D258" i="1"/>
  <c r="D91" i="1"/>
  <c r="D131" i="1"/>
  <c r="D187" i="1"/>
  <c r="D259" i="1"/>
  <c r="D84" i="1"/>
  <c r="D92" i="1"/>
  <c r="D100" i="1"/>
  <c r="D108" i="1"/>
  <c r="D116" i="1"/>
  <c r="D124" i="1"/>
  <c r="D132" i="1"/>
  <c r="D140" i="1"/>
  <c r="D148" i="1"/>
  <c r="D156" i="1"/>
  <c r="D164" i="1"/>
  <c r="D172" i="1"/>
  <c r="D180" i="1"/>
  <c r="D188" i="1"/>
  <c r="D196" i="1"/>
  <c r="D204" i="1"/>
  <c r="D212" i="1"/>
  <c r="D220" i="1"/>
  <c r="D228" i="1"/>
  <c r="D236" i="1"/>
  <c r="D244" i="1"/>
  <c r="D252" i="1"/>
  <c r="D245" i="1"/>
  <c r="D254" i="1"/>
  <c r="D115" i="1"/>
  <c r="D179" i="1"/>
  <c r="D235" i="1"/>
  <c r="A142" i="1"/>
  <c r="H142" i="1" s="1"/>
  <c r="E141" i="1"/>
  <c r="A143" i="1" l="1"/>
  <c r="H143" i="1" s="1"/>
  <c r="E142" i="1"/>
  <c r="A144" i="1" l="1"/>
  <c r="H144" i="1" s="1"/>
  <c r="E143" i="1"/>
  <c r="A145" i="1" l="1"/>
  <c r="H145" i="1" s="1"/>
  <c r="E144" i="1"/>
  <c r="A146" i="1" l="1"/>
  <c r="H146" i="1" s="1"/>
  <c r="E145" i="1"/>
  <c r="A147" i="1" l="1"/>
  <c r="H147" i="1" s="1"/>
  <c r="E146" i="1"/>
  <c r="A148" i="1" l="1"/>
  <c r="H148" i="1" s="1"/>
  <c r="E147" i="1"/>
  <c r="A149" i="1" l="1"/>
  <c r="H149" i="1" s="1"/>
  <c r="E148" i="1"/>
  <c r="A150" i="1" l="1"/>
  <c r="H150" i="1" s="1"/>
  <c r="E149" i="1"/>
  <c r="A151" i="1" l="1"/>
  <c r="H151" i="1" s="1"/>
  <c r="E150" i="1"/>
  <c r="A152" i="1" l="1"/>
  <c r="H152" i="1" s="1"/>
  <c r="E151" i="1"/>
  <c r="A153" i="1" l="1"/>
  <c r="H153" i="1" s="1"/>
  <c r="E152" i="1"/>
  <c r="A154" i="1" l="1"/>
  <c r="H154" i="1" s="1"/>
  <c r="E153" i="1"/>
  <c r="A155" i="1" l="1"/>
  <c r="H155" i="1" s="1"/>
  <c r="E154" i="1"/>
  <c r="A156" i="1" l="1"/>
  <c r="H156" i="1" s="1"/>
  <c r="E155" i="1"/>
  <c r="A157" i="1" l="1"/>
  <c r="H157" i="1" s="1"/>
  <c r="E156" i="1"/>
  <c r="A158" i="1" l="1"/>
  <c r="H158" i="1" s="1"/>
  <c r="E157" i="1"/>
  <c r="A159" i="1" l="1"/>
  <c r="H159" i="1" s="1"/>
  <c r="E158" i="1"/>
  <c r="A160" i="1" l="1"/>
  <c r="H160" i="1" s="1"/>
  <c r="E159" i="1"/>
  <c r="A161" i="1" l="1"/>
  <c r="H161" i="1" s="1"/>
  <c r="E160" i="1"/>
  <c r="A162" i="1" l="1"/>
  <c r="H162" i="1" s="1"/>
  <c r="E161" i="1"/>
  <c r="A163" i="1" l="1"/>
  <c r="H163" i="1" s="1"/>
  <c r="E162" i="1"/>
  <c r="A164" i="1" l="1"/>
  <c r="H164" i="1" s="1"/>
  <c r="E163" i="1"/>
  <c r="A165" i="1" l="1"/>
  <c r="H165" i="1" s="1"/>
  <c r="E164" i="1"/>
  <c r="A166" i="1" l="1"/>
  <c r="H166" i="1" s="1"/>
  <c r="E165" i="1"/>
  <c r="A167" i="1" l="1"/>
  <c r="H167" i="1" s="1"/>
  <c r="E166" i="1"/>
  <c r="A168" i="1" l="1"/>
  <c r="H168" i="1" s="1"/>
  <c r="E167" i="1"/>
  <c r="A169" i="1" l="1"/>
  <c r="H169" i="1" s="1"/>
  <c r="E168" i="1"/>
  <c r="A170" i="1" l="1"/>
  <c r="H170" i="1" s="1"/>
  <c r="E169" i="1"/>
  <c r="A171" i="1" l="1"/>
  <c r="H171" i="1" s="1"/>
  <c r="E170" i="1"/>
  <c r="A172" i="1" l="1"/>
  <c r="H172" i="1" s="1"/>
  <c r="E171" i="1"/>
  <c r="A173" i="1" l="1"/>
  <c r="H173" i="1" s="1"/>
  <c r="E172" i="1"/>
  <c r="A174" i="1" l="1"/>
  <c r="H174" i="1" s="1"/>
  <c r="E173" i="1"/>
  <c r="A175" i="1" l="1"/>
  <c r="H175" i="1" s="1"/>
  <c r="E174" i="1"/>
  <c r="A176" i="1" l="1"/>
  <c r="H176" i="1" s="1"/>
  <c r="E175" i="1"/>
  <c r="A177" i="1" l="1"/>
  <c r="H177" i="1" s="1"/>
  <c r="E176" i="1"/>
  <c r="A178" i="1" l="1"/>
  <c r="H178" i="1" s="1"/>
  <c r="E177" i="1"/>
  <c r="A179" i="1" l="1"/>
  <c r="H179" i="1" s="1"/>
  <c r="E178" i="1"/>
  <c r="A180" i="1" l="1"/>
  <c r="H180" i="1" s="1"/>
  <c r="E179" i="1"/>
  <c r="A181" i="1" l="1"/>
  <c r="H181" i="1" s="1"/>
  <c r="E180" i="1"/>
  <c r="A182" i="1" l="1"/>
  <c r="H182" i="1" s="1"/>
  <c r="E181" i="1"/>
  <c r="A183" i="1" l="1"/>
  <c r="H183" i="1" s="1"/>
  <c r="E182" i="1"/>
  <c r="A184" i="1" l="1"/>
  <c r="H184" i="1" s="1"/>
  <c r="E183" i="1"/>
  <c r="A185" i="1" l="1"/>
  <c r="H185" i="1" s="1"/>
  <c r="E184" i="1"/>
  <c r="A186" i="1" l="1"/>
  <c r="H186" i="1" s="1"/>
  <c r="E185" i="1"/>
  <c r="A187" i="1" l="1"/>
  <c r="H187" i="1" s="1"/>
  <c r="E186" i="1"/>
  <c r="A188" i="1" l="1"/>
  <c r="H188" i="1" s="1"/>
  <c r="E187" i="1"/>
  <c r="A189" i="1" l="1"/>
  <c r="H189" i="1" s="1"/>
  <c r="E188" i="1"/>
  <c r="A190" i="1" l="1"/>
  <c r="H190" i="1" s="1"/>
  <c r="E189" i="1"/>
  <c r="A191" i="1" l="1"/>
  <c r="H191" i="1" s="1"/>
  <c r="E190" i="1"/>
  <c r="A192" i="1" l="1"/>
  <c r="H192" i="1" s="1"/>
  <c r="E191" i="1"/>
  <c r="A193" i="1" l="1"/>
  <c r="H193" i="1" s="1"/>
  <c r="E192" i="1"/>
  <c r="A194" i="1" l="1"/>
  <c r="H194" i="1" s="1"/>
  <c r="E193" i="1"/>
  <c r="A195" i="1" l="1"/>
  <c r="H195" i="1" s="1"/>
  <c r="E194" i="1"/>
  <c r="A196" i="1" l="1"/>
  <c r="H196" i="1" s="1"/>
  <c r="E195" i="1"/>
  <c r="A197" i="1" l="1"/>
  <c r="H197" i="1" s="1"/>
  <c r="E196" i="1"/>
  <c r="A198" i="1" l="1"/>
  <c r="H198" i="1" s="1"/>
  <c r="E197" i="1"/>
  <c r="A199" i="1" l="1"/>
  <c r="H199" i="1" s="1"/>
  <c r="E198" i="1"/>
  <c r="A200" i="1" l="1"/>
  <c r="H200" i="1" s="1"/>
  <c r="E199" i="1"/>
  <c r="A201" i="1" l="1"/>
  <c r="H201" i="1" s="1"/>
  <c r="E200" i="1"/>
  <c r="A202" i="1" l="1"/>
  <c r="H202" i="1" s="1"/>
  <c r="E201" i="1"/>
  <c r="A203" i="1" l="1"/>
  <c r="H203" i="1" s="1"/>
  <c r="E202" i="1"/>
  <c r="A204" i="1" l="1"/>
  <c r="H204" i="1" s="1"/>
  <c r="E203" i="1"/>
  <c r="A205" i="1" l="1"/>
  <c r="H205" i="1" s="1"/>
  <c r="E204" i="1"/>
  <c r="A206" i="1" l="1"/>
  <c r="H206" i="1" s="1"/>
  <c r="E205" i="1"/>
  <c r="A207" i="1" l="1"/>
  <c r="H207" i="1" s="1"/>
  <c r="E206" i="1"/>
  <c r="A208" i="1" l="1"/>
  <c r="H208" i="1" s="1"/>
  <c r="E207" i="1"/>
  <c r="A209" i="1" l="1"/>
  <c r="H209" i="1" s="1"/>
  <c r="E208" i="1"/>
  <c r="A210" i="1" l="1"/>
  <c r="H210" i="1" s="1"/>
  <c r="E209" i="1"/>
  <c r="A211" i="1" l="1"/>
  <c r="H211" i="1" s="1"/>
  <c r="E210" i="1"/>
  <c r="A212" i="1" l="1"/>
  <c r="H212" i="1" s="1"/>
  <c r="E211" i="1"/>
  <c r="A213" i="1" l="1"/>
  <c r="H213" i="1" s="1"/>
  <c r="E212" i="1"/>
  <c r="A214" i="1" l="1"/>
  <c r="H214" i="1" s="1"/>
  <c r="E213" i="1"/>
  <c r="A215" i="1" l="1"/>
  <c r="H215" i="1" s="1"/>
  <c r="E214" i="1"/>
  <c r="A216" i="1" l="1"/>
  <c r="H216" i="1" s="1"/>
  <c r="E215" i="1"/>
  <c r="A217" i="1" l="1"/>
  <c r="H217" i="1" s="1"/>
  <c r="E216" i="1"/>
  <c r="A218" i="1" l="1"/>
  <c r="H218" i="1" s="1"/>
  <c r="E217" i="1"/>
  <c r="A219" i="1" l="1"/>
  <c r="H219" i="1" s="1"/>
  <c r="E218" i="1"/>
  <c r="A220" i="1" l="1"/>
  <c r="H220" i="1" s="1"/>
  <c r="E219" i="1"/>
  <c r="A221" i="1" l="1"/>
  <c r="H221" i="1" s="1"/>
  <c r="E220" i="1"/>
  <c r="A222" i="1" l="1"/>
  <c r="H222" i="1" s="1"/>
  <c r="E221" i="1"/>
  <c r="A223" i="1" l="1"/>
  <c r="H223" i="1" s="1"/>
  <c r="E222" i="1"/>
  <c r="A224" i="1" l="1"/>
  <c r="H224" i="1" s="1"/>
  <c r="E223" i="1"/>
  <c r="A225" i="1" l="1"/>
  <c r="H225" i="1" s="1"/>
  <c r="E224" i="1"/>
  <c r="A226" i="1" l="1"/>
  <c r="H226" i="1" s="1"/>
  <c r="E225" i="1"/>
  <c r="A227" i="1" l="1"/>
  <c r="H227" i="1" s="1"/>
  <c r="E226" i="1"/>
  <c r="A228" i="1" l="1"/>
  <c r="H228" i="1" s="1"/>
  <c r="E227" i="1"/>
  <c r="A229" i="1" l="1"/>
  <c r="H229" i="1" s="1"/>
  <c r="E228" i="1"/>
  <c r="A230" i="1" l="1"/>
  <c r="H230" i="1" s="1"/>
  <c r="E229" i="1"/>
  <c r="A231" i="1" l="1"/>
  <c r="H231" i="1" s="1"/>
  <c r="E230" i="1"/>
  <c r="A232" i="1" l="1"/>
  <c r="H232" i="1" s="1"/>
  <c r="E231" i="1"/>
  <c r="A233" i="1" l="1"/>
  <c r="H233" i="1" s="1"/>
  <c r="E232" i="1"/>
  <c r="A234" i="1" l="1"/>
  <c r="H234" i="1" s="1"/>
  <c r="E233" i="1"/>
  <c r="A235" i="1" l="1"/>
  <c r="H235" i="1" s="1"/>
  <c r="E234" i="1"/>
  <c r="A236" i="1" l="1"/>
  <c r="H236" i="1" s="1"/>
  <c r="E235" i="1"/>
  <c r="A237" i="1" l="1"/>
  <c r="H237" i="1" s="1"/>
  <c r="E236" i="1"/>
  <c r="A238" i="1" l="1"/>
  <c r="H238" i="1" s="1"/>
  <c r="E237" i="1"/>
  <c r="A239" i="1" l="1"/>
  <c r="H239" i="1" s="1"/>
  <c r="E238" i="1"/>
  <c r="A240" i="1" l="1"/>
  <c r="H240" i="1" s="1"/>
  <c r="E239" i="1"/>
  <c r="A241" i="1" l="1"/>
  <c r="H241" i="1" s="1"/>
  <c r="E240" i="1"/>
  <c r="A242" i="1" l="1"/>
  <c r="H242" i="1" s="1"/>
  <c r="E241" i="1"/>
  <c r="A243" i="1" l="1"/>
  <c r="H243" i="1" s="1"/>
  <c r="E242" i="1"/>
  <c r="A244" i="1" l="1"/>
  <c r="H244" i="1" s="1"/>
  <c r="E243" i="1"/>
  <c r="A245" i="1" l="1"/>
  <c r="H245" i="1" s="1"/>
  <c r="E244" i="1"/>
  <c r="A246" i="1" l="1"/>
  <c r="H246" i="1" s="1"/>
  <c r="E245" i="1"/>
  <c r="A247" i="1" l="1"/>
  <c r="H247" i="1" s="1"/>
  <c r="E246" i="1"/>
  <c r="A248" i="1" l="1"/>
  <c r="H248" i="1" s="1"/>
  <c r="E247" i="1"/>
  <c r="A249" i="1" l="1"/>
  <c r="H249" i="1" s="1"/>
  <c r="E248" i="1"/>
  <c r="A250" i="1" l="1"/>
  <c r="H250" i="1" s="1"/>
  <c r="E249" i="1"/>
  <c r="A251" i="1" l="1"/>
  <c r="H251" i="1" s="1"/>
  <c r="E250" i="1"/>
  <c r="A252" i="1" l="1"/>
  <c r="H252" i="1" s="1"/>
  <c r="E251" i="1"/>
  <c r="A253" i="1" l="1"/>
  <c r="H253" i="1" s="1"/>
  <c r="E252" i="1"/>
  <c r="A254" i="1" l="1"/>
  <c r="H254" i="1" s="1"/>
  <c r="E253" i="1"/>
  <c r="A255" i="1" l="1"/>
  <c r="H255" i="1" s="1"/>
  <c r="E254" i="1"/>
  <c r="A256" i="1" l="1"/>
  <c r="H256" i="1" s="1"/>
  <c r="E255" i="1"/>
  <c r="A257" i="1" l="1"/>
  <c r="H257" i="1" s="1"/>
  <c r="E256" i="1"/>
  <c r="A258" i="1" l="1"/>
  <c r="H258" i="1" s="1"/>
  <c r="E257" i="1"/>
  <c r="A259" i="1" l="1"/>
  <c r="H259" i="1" s="1"/>
  <c r="E258" i="1"/>
  <c r="E259" i="1" l="1"/>
  <c r="C80" i="1" l="1"/>
  <c r="F80" i="1" s="1"/>
  <c r="G80" i="1" s="1"/>
  <c r="I80" i="1" l="1"/>
  <c r="C81" i="1" s="1"/>
  <c r="F81" i="1" s="1"/>
  <c r="G81" i="1" s="1"/>
  <c r="I81" i="1" l="1"/>
  <c r="C82" i="1" s="1"/>
  <c r="F82" i="1" s="1"/>
  <c r="G82" i="1" s="1"/>
  <c r="I82" i="1" l="1"/>
  <c r="C83" i="1" l="1"/>
  <c r="F83" i="1" s="1"/>
  <c r="G83" i="1" s="1"/>
  <c r="I83" i="1" l="1"/>
  <c r="C84" i="1" l="1"/>
  <c r="F84" i="1" s="1"/>
  <c r="G84" i="1" s="1"/>
  <c r="I84" i="1" l="1"/>
  <c r="C85" i="1" l="1"/>
  <c r="F85" i="1" s="1"/>
  <c r="G85" i="1" s="1"/>
  <c r="I85" i="1" l="1"/>
  <c r="C86" i="1" s="1"/>
  <c r="F86" i="1" s="1"/>
  <c r="G86" i="1" s="1"/>
  <c r="I86" i="1" l="1"/>
  <c r="C87" i="1" s="1"/>
  <c r="F87" i="1" s="1"/>
  <c r="G87" i="1" s="1"/>
  <c r="I87" i="1" l="1"/>
  <c r="C88" i="1" s="1"/>
  <c r="F88" i="1" s="1"/>
  <c r="G88" i="1" s="1"/>
  <c r="I88" i="1" l="1"/>
  <c r="C89" i="1" s="1"/>
  <c r="F89" i="1" s="1"/>
  <c r="G89" i="1" s="1"/>
  <c r="I89" i="1" l="1"/>
  <c r="C90" i="1" s="1"/>
  <c r="F90" i="1" s="1"/>
  <c r="G90" i="1" s="1"/>
  <c r="I90" i="1" l="1"/>
  <c r="C91" i="1" s="1"/>
  <c r="F91" i="1" s="1"/>
  <c r="G91" i="1" s="1"/>
  <c r="I91" i="1" l="1"/>
  <c r="C92" i="1" s="1"/>
  <c r="F92" i="1" s="1"/>
  <c r="G92" i="1" s="1"/>
  <c r="I92" i="1" l="1"/>
  <c r="C93" i="1" l="1"/>
  <c r="F93" i="1" s="1"/>
  <c r="G93" i="1" s="1"/>
  <c r="I93" i="1" l="1"/>
  <c r="C94" i="1" s="1"/>
  <c r="F94" i="1" s="1"/>
  <c r="G94" i="1" s="1"/>
  <c r="I94" i="1" l="1"/>
  <c r="C95" i="1" l="1"/>
  <c r="F95" i="1" s="1"/>
  <c r="G95" i="1" s="1"/>
  <c r="I95" i="1" l="1"/>
  <c r="C96" i="1" s="1"/>
  <c r="F96" i="1" s="1"/>
  <c r="G96" i="1" s="1"/>
  <c r="I96" i="1" l="1"/>
  <c r="C97" i="1" s="1"/>
  <c r="F97" i="1" s="1"/>
  <c r="G97" i="1" s="1"/>
  <c r="I97" i="1" l="1"/>
  <c r="C98" i="1" s="1"/>
  <c r="F98" i="1" s="1"/>
  <c r="G98" i="1" s="1"/>
  <c r="I98" i="1" l="1"/>
  <c r="C99" i="1" s="1"/>
  <c r="F99" i="1" s="1"/>
  <c r="G99" i="1" s="1"/>
  <c r="I99" i="1" l="1"/>
  <c r="C100" i="1" s="1"/>
  <c r="F100" i="1" s="1"/>
  <c r="G100" i="1" s="1"/>
  <c r="I100" i="1" l="1"/>
  <c r="C101" i="1" s="1"/>
  <c r="F101" i="1" s="1"/>
  <c r="G101" i="1" s="1"/>
  <c r="I101" i="1" l="1"/>
  <c r="C102" i="1" s="1"/>
  <c r="F102" i="1" s="1"/>
  <c r="G102" i="1" s="1"/>
  <c r="I102" i="1" l="1"/>
  <c r="C103" i="1" s="1"/>
  <c r="F103" i="1" s="1"/>
  <c r="G103" i="1" s="1"/>
  <c r="I103" i="1" l="1"/>
  <c r="C104" i="1" s="1"/>
  <c r="F104" i="1" s="1"/>
  <c r="G104" i="1" s="1"/>
  <c r="I104" i="1" l="1"/>
  <c r="C105" i="1" s="1"/>
  <c r="F105" i="1" s="1"/>
  <c r="G105" i="1" s="1"/>
  <c r="I105" i="1" l="1"/>
  <c r="C106" i="1" s="1"/>
  <c r="F106" i="1" s="1"/>
  <c r="G106" i="1" s="1"/>
  <c r="I106" i="1" l="1"/>
  <c r="C107" i="1" s="1"/>
  <c r="F107" i="1" s="1"/>
  <c r="G107" i="1" s="1"/>
  <c r="I107" i="1" l="1"/>
  <c r="C108" i="1" s="1"/>
  <c r="F108" i="1" s="1"/>
  <c r="G108" i="1" s="1"/>
  <c r="I108" i="1" l="1"/>
  <c r="C109" i="1" l="1"/>
  <c r="F109" i="1" s="1"/>
  <c r="G109" i="1" s="1"/>
  <c r="I109" i="1" l="1"/>
  <c r="C110" i="1" s="1"/>
  <c r="F110" i="1" s="1"/>
  <c r="G110" i="1" s="1"/>
  <c r="I110" i="1" l="1"/>
  <c r="C111" i="1" l="1"/>
  <c r="F111" i="1" s="1"/>
  <c r="G111" i="1" s="1"/>
  <c r="I111" i="1" l="1"/>
  <c r="C112" i="1" l="1"/>
  <c r="F112" i="1" s="1"/>
  <c r="G112" i="1" s="1"/>
  <c r="I112" i="1" l="1"/>
  <c r="C113" i="1" l="1"/>
  <c r="F113" i="1" s="1"/>
  <c r="G113" i="1" s="1"/>
  <c r="I113" i="1" l="1"/>
  <c r="C114" i="1" l="1"/>
  <c r="F114" i="1" s="1"/>
  <c r="G114" i="1" s="1"/>
  <c r="I114" i="1" l="1"/>
  <c r="C115" i="1" l="1"/>
  <c r="F115" i="1" s="1"/>
  <c r="G115" i="1" s="1"/>
  <c r="I115" i="1" l="1"/>
  <c r="C116" i="1" l="1"/>
  <c r="F116" i="1" s="1"/>
  <c r="G116" i="1" s="1"/>
  <c r="I116" i="1" l="1"/>
  <c r="C117" i="1" l="1"/>
  <c r="F117" i="1" s="1"/>
  <c r="G117" i="1" s="1"/>
  <c r="I117" i="1" l="1"/>
  <c r="C118" i="1" l="1"/>
  <c r="F118" i="1" s="1"/>
  <c r="G118" i="1" s="1"/>
  <c r="I118" i="1" l="1"/>
  <c r="C119" i="1" l="1"/>
  <c r="F119" i="1" s="1"/>
  <c r="G119" i="1" s="1"/>
  <c r="I119" i="1" l="1"/>
  <c r="C120" i="1" l="1"/>
  <c r="F120" i="1" s="1"/>
  <c r="G120" i="1" s="1"/>
  <c r="I120" i="1" l="1"/>
  <c r="C121" i="1" l="1"/>
  <c r="F121" i="1" s="1"/>
  <c r="G121" i="1" s="1"/>
  <c r="I121" i="1" l="1"/>
  <c r="C122" i="1" l="1"/>
  <c r="F122" i="1" s="1"/>
  <c r="G122" i="1" s="1"/>
  <c r="I122" i="1" l="1"/>
  <c r="C123" i="1" l="1"/>
  <c r="F123" i="1" s="1"/>
  <c r="G123" i="1" s="1"/>
  <c r="I123" i="1" l="1"/>
  <c r="C124" i="1" l="1"/>
  <c r="F124" i="1" s="1"/>
  <c r="G124" i="1" s="1"/>
  <c r="I124" i="1" l="1"/>
  <c r="C125" i="1" l="1"/>
  <c r="F125" i="1" s="1"/>
  <c r="G125" i="1" s="1"/>
  <c r="I125" i="1" l="1"/>
  <c r="C126" i="1" l="1"/>
  <c r="F126" i="1" s="1"/>
  <c r="G126" i="1" s="1"/>
  <c r="I126" i="1" l="1"/>
  <c r="C127" i="1" l="1"/>
  <c r="F127" i="1" s="1"/>
  <c r="G127" i="1" s="1"/>
  <c r="I127" i="1" l="1"/>
  <c r="C128" i="1" s="1"/>
  <c r="F128" i="1" s="1"/>
  <c r="G128" i="1" s="1"/>
  <c r="I128" i="1" l="1"/>
  <c r="C129" i="1" l="1"/>
  <c r="F129" i="1" s="1"/>
  <c r="G129" i="1" s="1"/>
  <c r="I129" i="1" l="1"/>
  <c r="C130" i="1" s="1"/>
  <c r="F130" i="1" s="1"/>
  <c r="G130" i="1" s="1"/>
  <c r="I130" i="1" l="1"/>
  <c r="C131" i="1" l="1"/>
  <c r="F131" i="1" s="1"/>
  <c r="G131" i="1" s="1"/>
  <c r="I131" i="1" l="1"/>
  <c r="C132" i="1" l="1"/>
  <c r="F132" i="1" s="1"/>
  <c r="G132" i="1" s="1"/>
  <c r="I132" i="1" l="1"/>
  <c r="C133" i="1" l="1"/>
  <c r="F133" i="1" s="1"/>
  <c r="G133" i="1" s="1"/>
  <c r="I133" i="1" l="1"/>
  <c r="C134" i="1" l="1"/>
  <c r="F134" i="1" s="1"/>
  <c r="G134" i="1" s="1"/>
  <c r="I134" i="1" l="1"/>
  <c r="C135" i="1" l="1"/>
  <c r="F135" i="1" s="1"/>
  <c r="G135" i="1" s="1"/>
  <c r="I135" i="1" l="1"/>
  <c r="C136" i="1" l="1"/>
  <c r="F136" i="1" s="1"/>
  <c r="G136" i="1" s="1"/>
  <c r="I136" i="1" l="1"/>
  <c r="C137" i="1" s="1"/>
  <c r="F137" i="1" s="1"/>
  <c r="G137" i="1" s="1"/>
  <c r="I137" i="1" l="1"/>
  <c r="C138" i="1" l="1"/>
  <c r="F138" i="1" s="1"/>
  <c r="G138" i="1" s="1"/>
  <c r="I138" i="1" l="1"/>
  <c r="C139" i="1" s="1"/>
  <c r="F139" i="1" s="1"/>
  <c r="G139" i="1" s="1"/>
  <c r="I139" i="1" l="1"/>
  <c r="C140" i="1" s="1"/>
  <c r="F140" i="1" s="1"/>
  <c r="G140" i="1" s="1"/>
  <c r="I140" i="1" l="1"/>
  <c r="C141" i="1" s="1"/>
  <c r="F141" i="1" s="1"/>
  <c r="G141" i="1" s="1"/>
  <c r="I141" i="1" l="1"/>
  <c r="C142" i="1" s="1"/>
  <c r="F142" i="1" s="1"/>
  <c r="G142" i="1" s="1"/>
  <c r="I142" i="1" l="1"/>
  <c r="C143" i="1" l="1"/>
  <c r="F143" i="1" s="1"/>
  <c r="G143" i="1" s="1"/>
  <c r="I143" i="1" l="1"/>
  <c r="C144" i="1" l="1"/>
  <c r="F144" i="1" s="1"/>
  <c r="G144" i="1" s="1"/>
  <c r="I144" i="1" l="1"/>
  <c r="C145" i="1" l="1"/>
  <c r="F145" i="1" s="1"/>
  <c r="G145" i="1" s="1"/>
  <c r="I145" i="1" l="1"/>
  <c r="C146" i="1" s="1"/>
  <c r="F146" i="1" s="1"/>
  <c r="G146" i="1" s="1"/>
  <c r="I146" i="1" l="1"/>
  <c r="C147" i="1" l="1"/>
  <c r="F147" i="1" s="1"/>
  <c r="G147" i="1" s="1"/>
  <c r="I147" i="1" l="1"/>
  <c r="C148" i="1" l="1"/>
  <c r="F148" i="1" s="1"/>
  <c r="G148" i="1" s="1"/>
  <c r="I148" i="1" l="1"/>
  <c r="C149" i="1" l="1"/>
  <c r="F149" i="1" s="1"/>
  <c r="G149" i="1" s="1"/>
  <c r="I149" i="1" l="1"/>
  <c r="C150" i="1" s="1"/>
  <c r="F150" i="1" s="1"/>
  <c r="G150" i="1" s="1"/>
  <c r="I150" i="1" l="1"/>
  <c r="C151" i="1" l="1"/>
  <c r="F151" i="1" s="1"/>
  <c r="G151" i="1" s="1"/>
  <c r="I151" i="1" l="1"/>
  <c r="C152" i="1" s="1"/>
  <c r="F152" i="1" s="1"/>
  <c r="G152" i="1" s="1"/>
  <c r="I152" i="1" l="1"/>
  <c r="C153" i="1" s="1"/>
  <c r="F153" i="1" s="1"/>
  <c r="G153" i="1" s="1"/>
  <c r="I153" i="1" l="1"/>
  <c r="C154" i="1" l="1"/>
  <c r="F154" i="1" s="1"/>
  <c r="G154" i="1" s="1"/>
  <c r="I154" i="1" l="1"/>
  <c r="C155" i="1" l="1"/>
  <c r="F155" i="1" s="1"/>
  <c r="G155" i="1" s="1"/>
  <c r="I155" i="1" l="1"/>
  <c r="C156" i="1" l="1"/>
  <c r="F156" i="1" s="1"/>
  <c r="G156" i="1" s="1"/>
  <c r="I156" i="1" l="1"/>
  <c r="C157" i="1" l="1"/>
  <c r="F157" i="1" s="1"/>
  <c r="G157" i="1" s="1"/>
  <c r="I157" i="1" l="1"/>
  <c r="C158" i="1" s="1"/>
  <c r="F158" i="1" s="1"/>
  <c r="G158" i="1" s="1"/>
  <c r="I158" i="1" l="1"/>
  <c r="C159" i="1" l="1"/>
  <c r="F159" i="1" s="1"/>
  <c r="G159" i="1" s="1"/>
  <c r="I159" i="1" l="1"/>
  <c r="C160" i="1" s="1"/>
  <c r="F160" i="1" s="1"/>
  <c r="G160" i="1" s="1"/>
  <c r="I160" i="1" l="1"/>
  <c r="C161" i="1" l="1"/>
  <c r="F161" i="1" s="1"/>
  <c r="G161" i="1" s="1"/>
  <c r="I161" i="1" l="1"/>
  <c r="C162" i="1" s="1"/>
  <c r="F162" i="1" s="1"/>
  <c r="G162" i="1" s="1"/>
  <c r="I162" i="1" l="1"/>
  <c r="C163" i="1" s="1"/>
  <c r="F163" i="1" s="1"/>
  <c r="G163" i="1" s="1"/>
  <c r="I163" i="1" l="1"/>
  <c r="C164" i="1" s="1"/>
  <c r="F164" i="1" s="1"/>
  <c r="G164" i="1" s="1"/>
  <c r="I164" i="1" l="1"/>
  <c r="C165" i="1" l="1"/>
  <c r="F165" i="1" s="1"/>
  <c r="G165" i="1" s="1"/>
  <c r="I165" i="1" l="1"/>
  <c r="C166" i="1" s="1"/>
  <c r="F166" i="1" s="1"/>
  <c r="G166" i="1" s="1"/>
  <c r="I166" i="1" l="1"/>
  <c r="C167" i="1" l="1"/>
  <c r="F167" i="1" s="1"/>
  <c r="G167" i="1" s="1"/>
  <c r="I167" i="1" l="1"/>
  <c r="C168" i="1" s="1"/>
  <c r="F168" i="1" s="1"/>
  <c r="G168" i="1" s="1"/>
  <c r="I168" i="1" l="1"/>
  <c r="C169" i="1" l="1"/>
  <c r="F169" i="1" s="1"/>
  <c r="G169" i="1" s="1"/>
  <c r="I169" i="1" l="1"/>
  <c r="C170" i="1" s="1"/>
  <c r="F170" i="1" s="1"/>
  <c r="G170" i="1" s="1"/>
  <c r="I170" i="1" l="1"/>
  <c r="C171" i="1" l="1"/>
  <c r="F171" i="1" s="1"/>
  <c r="G171" i="1" s="1"/>
  <c r="I171" i="1" l="1"/>
  <c r="C172" i="1" s="1"/>
  <c r="F172" i="1" s="1"/>
  <c r="G172" i="1" s="1"/>
  <c r="I172" i="1" l="1"/>
  <c r="C173" i="1" s="1"/>
  <c r="F173" i="1" s="1"/>
  <c r="G173" i="1" s="1"/>
  <c r="I173" i="1" l="1"/>
  <c r="C174" i="1" s="1"/>
  <c r="F174" i="1" s="1"/>
  <c r="G174" i="1" s="1"/>
  <c r="I174" i="1" l="1"/>
  <c r="C175" i="1" l="1"/>
  <c r="F175" i="1" s="1"/>
  <c r="G175" i="1" s="1"/>
  <c r="I175" i="1" l="1"/>
  <c r="C176" i="1" l="1"/>
  <c r="F176" i="1" s="1"/>
  <c r="G176" i="1" s="1"/>
  <c r="I176" i="1" l="1"/>
  <c r="C177" i="1" s="1"/>
  <c r="F177" i="1" s="1"/>
  <c r="G177" i="1" s="1"/>
  <c r="I177" i="1" l="1"/>
  <c r="C178" i="1" s="1"/>
  <c r="F178" i="1" s="1"/>
  <c r="G178" i="1" s="1"/>
  <c r="I178" i="1" l="1"/>
  <c r="C179" i="1" s="1"/>
  <c r="F179" i="1" s="1"/>
  <c r="G179" i="1" s="1"/>
  <c r="I179" i="1" l="1"/>
  <c r="C180" i="1" s="1"/>
  <c r="F180" i="1" s="1"/>
  <c r="G180" i="1" s="1"/>
  <c r="I180" i="1" l="1"/>
  <c r="C181" i="1" s="1"/>
  <c r="F181" i="1" s="1"/>
  <c r="G181" i="1" s="1"/>
  <c r="I181" i="1" l="1"/>
  <c r="C182" i="1" s="1"/>
  <c r="F182" i="1" s="1"/>
  <c r="G182" i="1" s="1"/>
  <c r="I182" i="1" l="1"/>
  <c r="C183" i="1" s="1"/>
  <c r="F183" i="1" s="1"/>
  <c r="G183" i="1" s="1"/>
  <c r="I183" i="1" l="1"/>
  <c r="C184" i="1" l="1"/>
  <c r="F184" i="1" s="1"/>
  <c r="G184" i="1" s="1"/>
  <c r="I184" i="1" l="1"/>
  <c r="C185" i="1" s="1"/>
  <c r="F185" i="1" s="1"/>
  <c r="G185" i="1" s="1"/>
  <c r="I185" i="1" l="1"/>
  <c r="C186" i="1" s="1"/>
  <c r="F186" i="1" s="1"/>
  <c r="G186" i="1" s="1"/>
  <c r="I186" i="1" l="1"/>
  <c r="C187" i="1" s="1"/>
  <c r="F187" i="1" s="1"/>
  <c r="G187" i="1" s="1"/>
  <c r="I187" i="1" l="1"/>
  <c r="C188" i="1" s="1"/>
  <c r="F188" i="1" s="1"/>
  <c r="G188" i="1" s="1"/>
  <c r="I188" i="1" l="1"/>
  <c r="C189" i="1" s="1"/>
  <c r="F189" i="1" s="1"/>
  <c r="G189" i="1" s="1"/>
  <c r="I189" i="1" l="1"/>
  <c r="C190" i="1" s="1"/>
  <c r="F190" i="1" s="1"/>
  <c r="G190" i="1" s="1"/>
  <c r="I190" i="1" l="1"/>
  <c r="C191" i="1" s="1"/>
  <c r="F191" i="1" s="1"/>
  <c r="G191" i="1" s="1"/>
  <c r="I191" i="1" l="1"/>
  <c r="C192" i="1" l="1"/>
  <c r="F192" i="1" s="1"/>
  <c r="G192" i="1" s="1"/>
  <c r="I192" i="1" l="1"/>
  <c r="C193" i="1" l="1"/>
  <c r="F193" i="1" s="1"/>
  <c r="G193" i="1" s="1"/>
  <c r="I193" i="1" l="1"/>
  <c r="C194" i="1" s="1"/>
  <c r="F194" i="1" s="1"/>
  <c r="G194" i="1" s="1"/>
  <c r="I194" i="1" l="1"/>
  <c r="C195" i="1" s="1"/>
  <c r="F195" i="1" s="1"/>
  <c r="G195" i="1" s="1"/>
  <c r="I195" i="1" l="1"/>
  <c r="C196" i="1" s="1"/>
  <c r="F196" i="1" s="1"/>
  <c r="G196" i="1" s="1"/>
  <c r="I196" i="1" l="1"/>
  <c r="C197" i="1" s="1"/>
  <c r="F197" i="1" s="1"/>
  <c r="G197" i="1" s="1"/>
  <c r="I197" i="1" l="1"/>
  <c r="C198" i="1" s="1"/>
  <c r="F198" i="1" s="1"/>
  <c r="G198" i="1" s="1"/>
  <c r="I198" i="1" l="1"/>
  <c r="C199" i="1" s="1"/>
  <c r="F199" i="1" s="1"/>
  <c r="G199" i="1" s="1"/>
  <c r="I199" i="1" l="1"/>
  <c r="C200" i="1" l="1"/>
  <c r="F200" i="1" s="1"/>
  <c r="G200" i="1" s="1"/>
  <c r="I200" i="1" l="1"/>
  <c r="C201" i="1" l="1"/>
  <c r="F201" i="1" s="1"/>
  <c r="G201" i="1" s="1"/>
  <c r="I201" i="1" l="1"/>
  <c r="C202" i="1" s="1"/>
  <c r="F202" i="1" s="1"/>
  <c r="G202" i="1" s="1"/>
  <c r="I202" i="1" l="1"/>
  <c r="C203" i="1" l="1"/>
  <c r="F203" i="1" s="1"/>
  <c r="G203" i="1" s="1"/>
  <c r="I203" i="1" l="1"/>
  <c r="C204" i="1" s="1"/>
  <c r="F204" i="1" s="1"/>
  <c r="G204" i="1" s="1"/>
  <c r="I204" i="1" l="1"/>
  <c r="C205" i="1" s="1"/>
  <c r="F205" i="1" s="1"/>
  <c r="G205" i="1" s="1"/>
  <c r="I205" i="1" l="1"/>
  <c r="C206" i="1" s="1"/>
  <c r="F206" i="1" s="1"/>
  <c r="G206" i="1" s="1"/>
  <c r="I206" i="1" l="1"/>
  <c r="C207" i="1" l="1"/>
  <c r="F207" i="1" s="1"/>
  <c r="G207" i="1" s="1"/>
  <c r="I207" i="1" l="1"/>
  <c r="C208" i="1" s="1"/>
  <c r="F208" i="1" s="1"/>
  <c r="G208" i="1" s="1"/>
  <c r="I208" i="1" l="1"/>
  <c r="C209" i="1" s="1"/>
  <c r="F209" i="1" s="1"/>
  <c r="G209" i="1" s="1"/>
  <c r="I209" i="1" l="1"/>
  <c r="C210" i="1" s="1"/>
  <c r="F210" i="1" s="1"/>
  <c r="G210" i="1" s="1"/>
  <c r="I210" i="1" l="1"/>
  <c r="C211" i="1" l="1"/>
  <c r="F211" i="1" s="1"/>
  <c r="G211" i="1" s="1"/>
  <c r="I211" i="1" l="1"/>
  <c r="C212" i="1" l="1"/>
  <c r="F212" i="1" s="1"/>
  <c r="G212" i="1" s="1"/>
  <c r="I212" i="1" l="1"/>
  <c r="C213" i="1" s="1"/>
  <c r="F213" i="1" s="1"/>
  <c r="G213" i="1" s="1"/>
  <c r="I213" i="1" l="1"/>
  <c r="C214" i="1" s="1"/>
  <c r="F214" i="1" s="1"/>
  <c r="G214" i="1" s="1"/>
  <c r="I214" i="1" l="1"/>
  <c r="C215" i="1" s="1"/>
  <c r="F215" i="1" s="1"/>
  <c r="G215" i="1" s="1"/>
  <c r="I215" i="1" l="1"/>
  <c r="C216" i="1" s="1"/>
  <c r="F216" i="1" s="1"/>
  <c r="G216" i="1" s="1"/>
  <c r="I216" i="1" l="1"/>
  <c r="C217" i="1" s="1"/>
  <c r="F217" i="1" s="1"/>
  <c r="G217" i="1" s="1"/>
  <c r="I217" i="1" l="1"/>
  <c r="C218" i="1" s="1"/>
  <c r="F218" i="1" s="1"/>
  <c r="G218" i="1" s="1"/>
  <c r="I218" i="1" l="1"/>
  <c r="C219" i="1" s="1"/>
  <c r="F219" i="1" s="1"/>
  <c r="G219" i="1" s="1"/>
  <c r="I219" i="1" l="1"/>
  <c r="C220" i="1" l="1"/>
  <c r="F220" i="1" s="1"/>
  <c r="G220" i="1" s="1"/>
  <c r="I220" i="1" l="1"/>
  <c r="C221" i="1" l="1"/>
  <c r="F221" i="1" s="1"/>
  <c r="G221" i="1" s="1"/>
  <c r="I221" i="1" l="1"/>
  <c r="C222" i="1" l="1"/>
  <c r="F222" i="1" s="1"/>
  <c r="G222" i="1" s="1"/>
  <c r="I222" i="1" l="1"/>
  <c r="C223" i="1" l="1"/>
  <c r="F223" i="1" s="1"/>
  <c r="G223" i="1" s="1"/>
  <c r="I223" i="1" l="1"/>
  <c r="C224" i="1" s="1"/>
  <c r="F224" i="1" s="1"/>
  <c r="G224" i="1" s="1"/>
  <c r="I224" i="1" l="1"/>
  <c r="C225" i="1" s="1"/>
  <c r="F225" i="1" s="1"/>
  <c r="G225" i="1" s="1"/>
  <c r="I225" i="1" l="1"/>
  <c r="C226" i="1" s="1"/>
  <c r="F226" i="1" s="1"/>
  <c r="G226" i="1" s="1"/>
  <c r="I226" i="1" l="1"/>
  <c r="C227" i="1" s="1"/>
  <c r="F227" i="1" s="1"/>
  <c r="G227" i="1" s="1"/>
  <c r="I227" i="1" l="1"/>
  <c r="C228" i="1" s="1"/>
  <c r="F228" i="1" s="1"/>
  <c r="G228" i="1" s="1"/>
  <c r="I228" i="1" l="1"/>
  <c r="C229" i="1" s="1"/>
  <c r="F229" i="1" s="1"/>
  <c r="G229" i="1" s="1"/>
  <c r="I229" i="1" l="1"/>
  <c r="C230" i="1" s="1"/>
  <c r="F230" i="1" s="1"/>
  <c r="G230" i="1" s="1"/>
  <c r="I230" i="1" l="1"/>
  <c r="C231" i="1" s="1"/>
  <c r="F231" i="1" s="1"/>
  <c r="G231" i="1" s="1"/>
  <c r="I231" i="1" l="1"/>
  <c r="C232" i="1" s="1"/>
  <c r="F232" i="1" s="1"/>
  <c r="G232" i="1" s="1"/>
  <c r="I232" i="1" l="1"/>
  <c r="C233" i="1" s="1"/>
  <c r="F233" i="1" s="1"/>
  <c r="G233" i="1" s="1"/>
  <c r="I233" i="1" l="1"/>
  <c r="C234" i="1" s="1"/>
  <c r="F234" i="1" s="1"/>
  <c r="G234" i="1" s="1"/>
  <c r="I234" i="1" l="1"/>
  <c r="C235" i="1" l="1"/>
  <c r="F235" i="1" s="1"/>
  <c r="G235" i="1" s="1"/>
  <c r="I235" i="1" l="1"/>
  <c r="C236" i="1" s="1"/>
  <c r="F236" i="1" s="1"/>
  <c r="G236" i="1" s="1"/>
  <c r="I236" i="1" l="1"/>
  <c r="C237" i="1" s="1"/>
  <c r="F237" i="1" s="1"/>
  <c r="G237" i="1" s="1"/>
  <c r="I237" i="1" l="1"/>
  <c r="C238" i="1" s="1"/>
  <c r="F238" i="1" s="1"/>
  <c r="G238" i="1" s="1"/>
  <c r="I238" i="1" l="1"/>
  <c r="C239" i="1" l="1"/>
  <c r="F239" i="1" s="1"/>
  <c r="G239" i="1" s="1"/>
  <c r="I239" i="1" l="1"/>
  <c r="C240" i="1" l="1"/>
  <c r="F240" i="1" s="1"/>
  <c r="G240" i="1" s="1"/>
  <c r="I240" i="1" l="1"/>
  <c r="C241" i="1" s="1"/>
  <c r="F241" i="1" s="1"/>
  <c r="G241" i="1" s="1"/>
  <c r="I241" i="1" l="1"/>
  <c r="C242" i="1" s="1"/>
  <c r="F242" i="1" s="1"/>
  <c r="G242" i="1" s="1"/>
  <c r="I242" i="1" l="1"/>
  <c r="C243" i="1" s="1"/>
  <c r="F243" i="1" s="1"/>
  <c r="G243" i="1" s="1"/>
  <c r="I243" i="1" l="1"/>
  <c r="C244" i="1" l="1"/>
  <c r="F244" i="1" s="1"/>
  <c r="G244" i="1" s="1"/>
  <c r="I244" i="1" l="1"/>
  <c r="C245" i="1" l="1"/>
  <c r="F245" i="1" s="1"/>
  <c r="G245" i="1" s="1"/>
  <c r="I245" i="1" l="1"/>
  <c r="C246" i="1" s="1"/>
  <c r="F246" i="1" s="1"/>
  <c r="G246" i="1" s="1"/>
  <c r="I246" i="1" l="1"/>
  <c r="C247" i="1" l="1"/>
  <c r="F247" i="1" s="1"/>
  <c r="G247" i="1" s="1"/>
  <c r="I247" i="1" l="1"/>
  <c r="C248" i="1" l="1"/>
  <c r="F248" i="1" s="1"/>
  <c r="G248" i="1" s="1"/>
  <c r="I248" i="1" l="1"/>
  <c r="C249" i="1" l="1"/>
  <c r="F249" i="1" s="1"/>
  <c r="G249" i="1" s="1"/>
  <c r="I249" i="1" l="1"/>
  <c r="C250" i="1" l="1"/>
  <c r="F250" i="1" s="1"/>
  <c r="G250" i="1" s="1"/>
  <c r="I250" i="1" l="1"/>
  <c r="C251" i="1" l="1"/>
  <c r="F251" i="1" s="1"/>
  <c r="G251" i="1" s="1"/>
  <c r="I251" i="1" l="1"/>
  <c r="C252" i="1" l="1"/>
  <c r="F252" i="1" s="1"/>
  <c r="G252" i="1" s="1"/>
  <c r="I252" i="1" l="1"/>
  <c r="C253" i="1" l="1"/>
  <c r="F253" i="1" s="1"/>
  <c r="G253" i="1" s="1"/>
  <c r="I253" i="1" l="1"/>
  <c r="C254" i="1" s="1"/>
  <c r="F254" i="1" s="1"/>
  <c r="G254" i="1" s="1"/>
  <c r="I254" i="1" l="1"/>
  <c r="C255" i="1" l="1"/>
  <c r="F255" i="1" s="1"/>
  <c r="G255" i="1" s="1"/>
  <c r="I255" i="1" l="1"/>
  <c r="C256" i="1" s="1"/>
  <c r="F256" i="1" s="1"/>
  <c r="G256" i="1" s="1"/>
  <c r="I256" i="1" l="1"/>
  <c r="C257" i="1" s="1"/>
  <c r="F257" i="1" s="1"/>
  <c r="G257" i="1" s="1"/>
  <c r="I257" i="1" l="1"/>
  <c r="C258" i="1" l="1"/>
  <c r="F258" i="1" s="1"/>
  <c r="G258" i="1" s="1"/>
  <c r="I258" i="1" l="1"/>
  <c r="C259" i="1" s="1"/>
  <c r="F259" i="1" s="1"/>
  <c r="G259" i="1" s="1"/>
  <c r="I259" i="1" l="1"/>
  <c r="F260" i="1"/>
</calcChain>
</file>

<file path=xl/sharedStrings.xml><?xml version="1.0" encoding="utf-8"?>
<sst xmlns="http://schemas.openxmlformats.org/spreadsheetml/2006/main" count="22" uniqueCount="19">
  <si>
    <t>Principal</t>
  </si>
  <si>
    <t>Annual Rate (%)</t>
  </si>
  <si>
    <t>Tenure (Months)</t>
  </si>
  <si>
    <t>Monthly Rate</t>
  </si>
  <si>
    <t>EMI</t>
  </si>
  <si>
    <t>Month</t>
  </si>
  <si>
    <t>Opening Balance</t>
  </si>
  <si>
    <t>Interest</t>
  </si>
  <si>
    <t>Closing Balance</t>
  </si>
  <si>
    <t>Rate Change Month</t>
  </si>
  <si>
    <t>New Rate</t>
  </si>
  <si>
    <t>Remaining Tenure at Rate Change</t>
  </si>
  <si>
    <t>EMI After Rate Change</t>
  </si>
  <si>
    <t>Prepayment Month</t>
  </si>
  <si>
    <t>Prepayment Amount</t>
  </si>
  <si>
    <t>Prepayment</t>
  </si>
  <si>
    <t>Remaining Tenure After Prepayment</t>
  </si>
  <si>
    <t>EMI After Prepayment</t>
  </si>
  <si>
    <t>Remaining 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</si>
</sst>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A0914-68E4-42A8-9C97-57730CC74B48}">
  <dimension ref="A2:I260"/>
  <sheetViews>
    <sheetView tabSelected="1" topLeftCell="C3" workbookViewId="0">
      <selection activeCell="F260" sqref="F260"/>
    </sheetView>
  </sheetViews>
  <sheetFormatPr defaultRowHeight="14.4" x14ac:dyDescent="0.3"/>
  <cols>
    <col min="1" max="2" width="16.33203125" customWidth="1"/>
    <col min="3" max="3" width="14.33203125" bestFit="1" customWidth="1"/>
    <col min="6" max="6" width="11" bestFit="1" customWidth="1"/>
    <col min="7" max="7" width="10.21875" bestFit="1" customWidth="1"/>
    <col min="8" max="8" width="10.21875" customWidth="1"/>
    <col min="9" max="9" width="13.88671875" bestFit="1" customWidth="1"/>
  </cols>
  <sheetData>
    <row r="2" spans="1:2" x14ac:dyDescent="0.3">
      <c r="A2" t="s">
        <v>0</v>
      </c>
      <c r="B2">
        <v>1000000</v>
      </c>
    </row>
    <row r="3" spans="1:2" x14ac:dyDescent="0.3">
      <c r="A3" t="s">
        <v>1</v>
      </c>
      <c r="B3" s="1">
        <v>8</v>
      </c>
    </row>
    <row r="4" spans="1:2" x14ac:dyDescent="0.3">
      <c r="A4" t="s">
        <v>2</v>
      </c>
      <c r="B4">
        <v>240</v>
      </c>
    </row>
    <row r="6" spans="1:2" x14ac:dyDescent="0.3">
      <c r="A6" t="s">
        <v>3</v>
      </c>
      <c r="B6">
        <f>B3/100/12</f>
        <v>6.6666666666666671E-3</v>
      </c>
    </row>
    <row r="7" spans="1:2" x14ac:dyDescent="0.3">
      <c r="A7" t="s">
        <v>4</v>
      </c>
      <c r="B7" s="2">
        <f>-PMT(B6,B4,B2)</f>
        <v>8364.4006899346277</v>
      </c>
    </row>
    <row r="8" spans="1:2" x14ac:dyDescent="0.3">
      <c r="B8" s="2"/>
    </row>
    <row r="9" spans="1:2" x14ac:dyDescent="0.3">
      <c r="A9" t="s">
        <v>9</v>
      </c>
      <c r="B9" s="2">
        <v>25</v>
      </c>
    </row>
    <row r="10" spans="1:2" x14ac:dyDescent="0.3">
      <c r="A10" t="s">
        <v>10</v>
      </c>
      <c r="B10" s="2">
        <v>10</v>
      </c>
    </row>
    <row r="11" spans="1:2" x14ac:dyDescent="0.3">
      <c r="A11" t="s">
        <v>11</v>
      </c>
      <c r="B11" s="2">
        <f>$B$4-($B$9-1)</f>
        <v>216</v>
      </c>
    </row>
    <row r="12" spans="1:2" x14ac:dyDescent="0.3">
      <c r="A12" t="s">
        <v>12</v>
      </c>
      <c r="B12" s="2">
        <f>ROUND(-PMT($B$10/100/12, B38, C38),2)</f>
        <v>9581.9500000000007</v>
      </c>
    </row>
    <row r="14" spans="1:2" x14ac:dyDescent="0.3">
      <c r="A14" t="s">
        <v>13</v>
      </c>
      <c r="B14">
        <v>60</v>
      </c>
    </row>
    <row r="15" spans="1:2" x14ac:dyDescent="0.3">
      <c r="A15" t="s">
        <v>14</v>
      </c>
      <c r="B15" s="2">
        <v>200000</v>
      </c>
    </row>
    <row r="16" spans="1:2" x14ac:dyDescent="0.3">
      <c r="A16" t="s">
        <v>16</v>
      </c>
      <c r="B16">
        <f>B4-B14</f>
        <v>180</v>
      </c>
    </row>
    <row r="17" spans="1:9" x14ac:dyDescent="0.3">
      <c r="A17" t="s">
        <v>17</v>
      </c>
      <c r="B17" s="2">
        <f>ROUND(-PMT($B$10/100/12, B79-1, I79),2)</f>
        <v>7398.37</v>
      </c>
    </row>
    <row r="19" spans="1:9" x14ac:dyDescent="0.3">
      <c r="A19" t="s">
        <v>5</v>
      </c>
      <c r="B19" t="s">
        <v>18</v>
      </c>
      <c r="C19" t="s">
        <v>6</v>
      </c>
      <c r="D19" t="s">
        <v>4</v>
      </c>
      <c r="E19" t="s">
        <v>3</v>
      </c>
      <c r="F19" t="s">
        <v>7</v>
      </c>
      <c r="G19" t="s">
        <v>0</v>
      </c>
      <c r="H19" t="s">
        <v>15</v>
      </c>
      <c r="I19" t="s">
        <v>8</v>
      </c>
    </row>
    <row r="20" spans="1:9" x14ac:dyDescent="0.3">
      <c r="A20">
        <v>1</v>
      </c>
      <c r="B20">
        <f>$B$4</f>
        <v>240</v>
      </c>
      <c r="C20">
        <f>B2</f>
        <v>1000000</v>
      </c>
      <c r="D20" s="2">
        <f>IF(A20&lt;$B$9,
     $B$7,
     IF(A20&lt;$B$14,
        $B$12,
        IF(A20=$B$14,
            $B$12,
            $B$17
        )
     )
)</f>
        <v>8364.4006899346277</v>
      </c>
      <c r="E20" s="3">
        <f>IF(A20&lt;$B$9,$B$3/100/12,$B$10/100/12)</f>
        <v>6.6666666666666671E-3</v>
      </c>
      <c r="F20">
        <f>ROUND(C20*E20,2)</f>
        <v>6666.67</v>
      </c>
      <c r="G20" s="2">
        <f>ROUND(IF(D20-F20&gt;C20,C20,D20-F20),2)</f>
        <v>1697.73</v>
      </c>
      <c r="H20" s="2">
        <f>IF(A20=$B$14,$B$15,0)</f>
        <v>0</v>
      </c>
      <c r="I20" s="2">
        <f>ROUND(C20-G20-H20,2)</f>
        <v>998302.27</v>
      </c>
    </row>
    <row r="21" spans="1:9" x14ac:dyDescent="0.3">
      <c r="A21">
        <f>A20+1</f>
        <v>2</v>
      </c>
      <c r="B21">
        <f>B20-1</f>
        <v>239</v>
      </c>
      <c r="C21" s="2">
        <f>I20</f>
        <v>998302.27</v>
      </c>
      <c r="D21" s="2">
        <f t="shared" ref="D21:D84" si="0">IF(A21&lt;$B$9,
     $B$7,
     IF(A21&lt;$B$14,
        $B$12,
        IF(A21=$B$14,
            $B$12,
            $B$17
        )
     )
)</f>
        <v>8364.4006899346277</v>
      </c>
      <c r="E21" s="3">
        <f>IF(A21&lt;$B$9,$B$3/100/12,$B$10/100/12)</f>
        <v>6.6666666666666671E-3</v>
      </c>
      <c r="F21">
        <f t="shared" ref="F21:F84" si="1">ROUND(C21*E21,2)</f>
        <v>6655.35</v>
      </c>
      <c r="G21" s="2">
        <f t="shared" ref="G21:G84" si="2">ROUND(IF(D21-F21&gt;C21,C21,D21-F21),2)</f>
        <v>1709.05</v>
      </c>
      <c r="H21" s="2">
        <f>IF(A21=$B$14,$B$15,0)</f>
        <v>0</v>
      </c>
      <c r="I21" s="2">
        <f t="shared" ref="I21:I84" si="3">C21-G21-H21</f>
        <v>996593.22</v>
      </c>
    </row>
    <row r="22" spans="1:9" x14ac:dyDescent="0.3">
      <c r="A22">
        <f t="shared" ref="A22:A85" si="4">A21+1</f>
        <v>3</v>
      </c>
      <c r="B22">
        <f t="shared" ref="B22:B85" si="5">B21-1</f>
        <v>238</v>
      </c>
      <c r="C22" s="2">
        <f t="shared" ref="C22:C85" si="6">I21</f>
        <v>996593.22</v>
      </c>
      <c r="D22" s="2">
        <f t="shared" si="0"/>
        <v>8364.4006899346277</v>
      </c>
      <c r="E22" s="3">
        <f>IF(A22&lt;$B$9,$B$3/100/12,$B$10/100/12)</f>
        <v>6.6666666666666671E-3</v>
      </c>
      <c r="F22">
        <f t="shared" si="1"/>
        <v>6643.95</v>
      </c>
      <c r="G22" s="2">
        <f t="shared" si="2"/>
        <v>1720.45</v>
      </c>
      <c r="H22" s="2">
        <f>IF(A22=$B$14,$B$15,0)</f>
        <v>0</v>
      </c>
      <c r="I22" s="2">
        <f t="shared" si="3"/>
        <v>994872.77</v>
      </c>
    </row>
    <row r="23" spans="1:9" x14ac:dyDescent="0.3">
      <c r="A23">
        <f t="shared" si="4"/>
        <v>4</v>
      </c>
      <c r="B23">
        <f t="shared" si="5"/>
        <v>237</v>
      </c>
      <c r="C23" s="2">
        <f t="shared" si="6"/>
        <v>994872.77</v>
      </c>
      <c r="D23" s="2">
        <f t="shared" si="0"/>
        <v>8364.4006899346277</v>
      </c>
      <c r="E23" s="3">
        <f>IF(A23&lt;$B$9,$B$3/100/12,$B$10/100/12)</f>
        <v>6.6666666666666671E-3</v>
      </c>
      <c r="F23">
        <f t="shared" si="1"/>
        <v>6632.49</v>
      </c>
      <c r="G23" s="2">
        <f t="shared" si="2"/>
        <v>1731.91</v>
      </c>
      <c r="H23" s="2">
        <f>IF(A23=$B$14,$B$15,0)</f>
        <v>0</v>
      </c>
      <c r="I23" s="2">
        <f t="shared" si="3"/>
        <v>993140.86</v>
      </c>
    </row>
    <row r="24" spans="1:9" x14ac:dyDescent="0.3">
      <c r="A24">
        <f t="shared" si="4"/>
        <v>5</v>
      </c>
      <c r="B24">
        <f t="shared" si="5"/>
        <v>236</v>
      </c>
      <c r="C24" s="2">
        <f t="shared" si="6"/>
        <v>993140.86</v>
      </c>
      <c r="D24" s="2">
        <f t="shared" si="0"/>
        <v>8364.4006899346277</v>
      </c>
      <c r="E24" s="3">
        <f>IF(A24&lt;$B$9,$B$3/100/12,$B$10/100/12)</f>
        <v>6.6666666666666671E-3</v>
      </c>
      <c r="F24">
        <f t="shared" si="1"/>
        <v>6620.94</v>
      </c>
      <c r="G24" s="2">
        <f t="shared" si="2"/>
        <v>1743.46</v>
      </c>
      <c r="H24" s="2">
        <f>IF(A24=$B$14,$B$15,0)</f>
        <v>0</v>
      </c>
      <c r="I24" s="2">
        <f t="shared" si="3"/>
        <v>991397.4</v>
      </c>
    </row>
    <row r="25" spans="1:9" x14ac:dyDescent="0.3">
      <c r="A25">
        <f t="shared" si="4"/>
        <v>6</v>
      </c>
      <c r="B25">
        <f t="shared" si="5"/>
        <v>235</v>
      </c>
      <c r="C25" s="2">
        <f t="shared" si="6"/>
        <v>991397.4</v>
      </c>
      <c r="D25" s="2">
        <f t="shared" si="0"/>
        <v>8364.4006899346277</v>
      </c>
      <c r="E25" s="3">
        <f>IF(A25&lt;$B$9,$B$3/100/12,$B$10/100/12)</f>
        <v>6.6666666666666671E-3</v>
      </c>
      <c r="F25">
        <f t="shared" si="1"/>
        <v>6609.32</v>
      </c>
      <c r="G25" s="2">
        <f t="shared" si="2"/>
        <v>1755.08</v>
      </c>
      <c r="H25" s="2">
        <f>IF(A25=$B$14,$B$15,0)</f>
        <v>0</v>
      </c>
      <c r="I25" s="2">
        <f t="shared" si="3"/>
        <v>989642.32000000007</v>
      </c>
    </row>
    <row r="26" spans="1:9" x14ac:dyDescent="0.3">
      <c r="A26">
        <f t="shared" si="4"/>
        <v>7</v>
      </c>
      <c r="B26">
        <f t="shared" si="5"/>
        <v>234</v>
      </c>
      <c r="C26" s="2">
        <f t="shared" si="6"/>
        <v>989642.32000000007</v>
      </c>
      <c r="D26" s="2">
        <f t="shared" si="0"/>
        <v>8364.4006899346277</v>
      </c>
      <c r="E26" s="3">
        <f>IF(A26&lt;$B$9,$B$3/100/12,$B$10/100/12)</f>
        <v>6.6666666666666671E-3</v>
      </c>
      <c r="F26">
        <f t="shared" si="1"/>
        <v>6597.62</v>
      </c>
      <c r="G26" s="2">
        <f t="shared" si="2"/>
        <v>1766.78</v>
      </c>
      <c r="H26" s="2">
        <f>IF(A26=$B$14,$B$15,0)</f>
        <v>0</v>
      </c>
      <c r="I26" s="2">
        <f t="shared" si="3"/>
        <v>987875.54</v>
      </c>
    </row>
    <row r="27" spans="1:9" x14ac:dyDescent="0.3">
      <c r="A27">
        <f t="shared" si="4"/>
        <v>8</v>
      </c>
      <c r="B27">
        <f t="shared" si="5"/>
        <v>233</v>
      </c>
      <c r="C27" s="2">
        <f t="shared" si="6"/>
        <v>987875.54</v>
      </c>
      <c r="D27" s="2">
        <f t="shared" si="0"/>
        <v>8364.4006899346277</v>
      </c>
      <c r="E27" s="3">
        <f>IF(A27&lt;$B$9,$B$3/100/12,$B$10/100/12)</f>
        <v>6.6666666666666671E-3</v>
      </c>
      <c r="F27">
        <f t="shared" si="1"/>
        <v>6585.84</v>
      </c>
      <c r="G27" s="2">
        <f t="shared" si="2"/>
        <v>1778.56</v>
      </c>
      <c r="H27" s="2">
        <f>IF(A27=$B$14,$B$15,0)</f>
        <v>0</v>
      </c>
      <c r="I27" s="2">
        <f t="shared" si="3"/>
        <v>986096.98</v>
      </c>
    </row>
    <row r="28" spans="1:9" x14ac:dyDescent="0.3">
      <c r="A28">
        <f t="shared" si="4"/>
        <v>9</v>
      </c>
      <c r="B28">
        <f t="shared" si="5"/>
        <v>232</v>
      </c>
      <c r="C28" s="2">
        <f t="shared" si="6"/>
        <v>986096.98</v>
      </c>
      <c r="D28" s="2">
        <f t="shared" si="0"/>
        <v>8364.4006899346277</v>
      </c>
      <c r="E28" s="3">
        <f>IF(A28&lt;$B$9,$B$3/100/12,$B$10/100/12)</f>
        <v>6.6666666666666671E-3</v>
      </c>
      <c r="F28">
        <f t="shared" si="1"/>
        <v>6573.98</v>
      </c>
      <c r="G28" s="2">
        <f t="shared" si="2"/>
        <v>1790.42</v>
      </c>
      <c r="H28" s="2">
        <f>IF(A28=$B$14,$B$15,0)</f>
        <v>0</v>
      </c>
      <c r="I28" s="2">
        <f t="shared" si="3"/>
        <v>984306.55999999994</v>
      </c>
    </row>
    <row r="29" spans="1:9" x14ac:dyDescent="0.3">
      <c r="A29">
        <f t="shared" si="4"/>
        <v>10</v>
      </c>
      <c r="B29">
        <f t="shared" si="5"/>
        <v>231</v>
      </c>
      <c r="C29" s="2">
        <f t="shared" si="6"/>
        <v>984306.55999999994</v>
      </c>
      <c r="D29" s="2">
        <f t="shared" si="0"/>
        <v>8364.4006899346277</v>
      </c>
      <c r="E29" s="3">
        <f>IF(A29&lt;$B$9,$B$3/100/12,$B$10/100/12)</f>
        <v>6.6666666666666671E-3</v>
      </c>
      <c r="F29">
        <f t="shared" si="1"/>
        <v>6562.04</v>
      </c>
      <c r="G29" s="2">
        <f t="shared" si="2"/>
        <v>1802.36</v>
      </c>
      <c r="H29" s="2">
        <f>IF(A29=$B$14,$B$15,0)</f>
        <v>0</v>
      </c>
      <c r="I29" s="2">
        <f t="shared" si="3"/>
        <v>982504.2</v>
      </c>
    </row>
    <row r="30" spans="1:9" x14ac:dyDescent="0.3">
      <c r="A30">
        <f t="shared" si="4"/>
        <v>11</v>
      </c>
      <c r="B30">
        <f t="shared" si="5"/>
        <v>230</v>
      </c>
      <c r="C30" s="2">
        <f t="shared" si="6"/>
        <v>982504.2</v>
      </c>
      <c r="D30" s="2">
        <f t="shared" si="0"/>
        <v>8364.4006899346277</v>
      </c>
      <c r="E30" s="3">
        <f>IF(A30&lt;$B$9,$B$3/100/12,$B$10/100/12)</f>
        <v>6.6666666666666671E-3</v>
      </c>
      <c r="F30">
        <f t="shared" si="1"/>
        <v>6550.03</v>
      </c>
      <c r="G30" s="2">
        <f t="shared" si="2"/>
        <v>1814.37</v>
      </c>
      <c r="H30" s="2">
        <f>IF(A30=$B$14,$B$15,0)</f>
        <v>0</v>
      </c>
      <c r="I30" s="2">
        <f t="shared" si="3"/>
        <v>980689.83</v>
      </c>
    </row>
    <row r="31" spans="1:9" x14ac:dyDescent="0.3">
      <c r="A31">
        <f t="shared" si="4"/>
        <v>12</v>
      </c>
      <c r="B31">
        <f t="shared" si="5"/>
        <v>229</v>
      </c>
      <c r="C31" s="2">
        <f t="shared" si="6"/>
        <v>980689.83</v>
      </c>
      <c r="D31" s="2">
        <f t="shared" si="0"/>
        <v>8364.4006899346277</v>
      </c>
      <c r="E31" s="3">
        <f>IF(A31&lt;$B$9,$B$3/100/12,$B$10/100/12)</f>
        <v>6.6666666666666671E-3</v>
      </c>
      <c r="F31">
        <f t="shared" si="1"/>
        <v>6537.93</v>
      </c>
      <c r="G31" s="2">
        <f t="shared" si="2"/>
        <v>1826.47</v>
      </c>
      <c r="H31" s="2">
        <f>IF(A31=$B$14,$B$15,0)</f>
        <v>0</v>
      </c>
      <c r="I31" s="2">
        <f t="shared" si="3"/>
        <v>978863.36</v>
      </c>
    </row>
    <row r="32" spans="1:9" x14ac:dyDescent="0.3">
      <c r="A32">
        <f t="shared" si="4"/>
        <v>13</v>
      </c>
      <c r="B32">
        <f t="shared" si="5"/>
        <v>228</v>
      </c>
      <c r="C32" s="2">
        <f t="shared" si="6"/>
        <v>978863.36</v>
      </c>
      <c r="D32" s="2">
        <f t="shared" si="0"/>
        <v>8364.4006899346277</v>
      </c>
      <c r="E32" s="3">
        <f>IF(A32&lt;$B$9,$B$3/100/12,$B$10/100/12)</f>
        <v>6.6666666666666671E-3</v>
      </c>
      <c r="F32">
        <f t="shared" si="1"/>
        <v>6525.76</v>
      </c>
      <c r="G32" s="2">
        <f t="shared" si="2"/>
        <v>1838.64</v>
      </c>
      <c r="H32" s="2">
        <f>IF(A32=$B$14,$B$15,0)</f>
        <v>0</v>
      </c>
      <c r="I32" s="2">
        <f t="shared" si="3"/>
        <v>977024.72</v>
      </c>
    </row>
    <row r="33" spans="1:9" x14ac:dyDescent="0.3">
      <c r="A33">
        <f t="shared" si="4"/>
        <v>14</v>
      </c>
      <c r="B33">
        <f t="shared" si="5"/>
        <v>227</v>
      </c>
      <c r="C33" s="2">
        <f t="shared" si="6"/>
        <v>977024.72</v>
      </c>
      <c r="D33" s="2">
        <f t="shared" si="0"/>
        <v>8364.4006899346277</v>
      </c>
      <c r="E33" s="3">
        <f>IF(A33&lt;$B$9,$B$3/100/12,$B$10/100/12)</f>
        <v>6.6666666666666671E-3</v>
      </c>
      <c r="F33">
        <f t="shared" si="1"/>
        <v>6513.5</v>
      </c>
      <c r="G33" s="2">
        <f t="shared" si="2"/>
        <v>1850.9</v>
      </c>
      <c r="H33" s="2">
        <f>IF(A33=$B$14,$B$15,0)</f>
        <v>0</v>
      </c>
      <c r="I33" s="2">
        <f t="shared" si="3"/>
        <v>975173.82</v>
      </c>
    </row>
    <row r="34" spans="1:9" x14ac:dyDescent="0.3">
      <c r="A34">
        <f t="shared" si="4"/>
        <v>15</v>
      </c>
      <c r="B34">
        <f t="shared" si="5"/>
        <v>226</v>
      </c>
      <c r="C34" s="2">
        <f t="shared" si="6"/>
        <v>975173.82</v>
      </c>
      <c r="D34" s="2">
        <f t="shared" si="0"/>
        <v>8364.4006899346277</v>
      </c>
      <c r="E34" s="3">
        <f>IF(A34&lt;$B$9,$B$3/100/12,$B$10/100/12)</f>
        <v>6.6666666666666671E-3</v>
      </c>
      <c r="F34">
        <f t="shared" si="1"/>
        <v>6501.16</v>
      </c>
      <c r="G34" s="2">
        <f t="shared" si="2"/>
        <v>1863.24</v>
      </c>
      <c r="H34" s="2">
        <f>IF(A34=$B$14,$B$15,0)</f>
        <v>0</v>
      </c>
      <c r="I34" s="2">
        <f t="shared" si="3"/>
        <v>973310.58</v>
      </c>
    </row>
    <row r="35" spans="1:9" x14ac:dyDescent="0.3">
      <c r="A35">
        <f t="shared" si="4"/>
        <v>16</v>
      </c>
      <c r="B35">
        <f t="shared" si="5"/>
        <v>225</v>
      </c>
      <c r="C35" s="2">
        <f t="shared" si="6"/>
        <v>973310.58</v>
      </c>
      <c r="D35" s="2">
        <f t="shared" si="0"/>
        <v>8364.4006899346277</v>
      </c>
      <c r="E35" s="3">
        <f>IF(A35&lt;$B$9,$B$3/100/12,$B$10/100/12)</f>
        <v>6.6666666666666671E-3</v>
      </c>
      <c r="F35">
        <f t="shared" si="1"/>
        <v>6488.74</v>
      </c>
      <c r="G35" s="2">
        <f t="shared" si="2"/>
        <v>1875.66</v>
      </c>
      <c r="H35" s="2">
        <f>IF(A35=$B$14,$B$15,0)</f>
        <v>0</v>
      </c>
      <c r="I35" s="2">
        <f t="shared" si="3"/>
        <v>971434.91999999993</v>
      </c>
    </row>
    <row r="36" spans="1:9" x14ac:dyDescent="0.3">
      <c r="A36">
        <f t="shared" si="4"/>
        <v>17</v>
      </c>
      <c r="B36">
        <f t="shared" si="5"/>
        <v>224</v>
      </c>
      <c r="C36" s="2">
        <f t="shared" si="6"/>
        <v>971434.91999999993</v>
      </c>
      <c r="D36" s="2">
        <f t="shared" si="0"/>
        <v>8364.4006899346277</v>
      </c>
      <c r="E36" s="3">
        <f>IF(A36&lt;$B$9,$B$3/100/12,$B$10/100/12)</f>
        <v>6.6666666666666671E-3</v>
      </c>
      <c r="F36">
        <f t="shared" si="1"/>
        <v>6476.23</v>
      </c>
      <c r="G36" s="2">
        <f t="shared" si="2"/>
        <v>1888.17</v>
      </c>
      <c r="H36" s="2">
        <f>IF(A36=$B$14,$B$15,0)</f>
        <v>0</v>
      </c>
      <c r="I36" s="2">
        <f t="shared" si="3"/>
        <v>969546.74999999988</v>
      </c>
    </row>
    <row r="37" spans="1:9" x14ac:dyDescent="0.3">
      <c r="A37">
        <f t="shared" si="4"/>
        <v>18</v>
      </c>
      <c r="B37">
        <f t="shared" si="5"/>
        <v>223</v>
      </c>
      <c r="C37" s="2">
        <f t="shared" si="6"/>
        <v>969546.74999999988</v>
      </c>
      <c r="D37" s="2">
        <f t="shared" si="0"/>
        <v>8364.4006899346277</v>
      </c>
      <c r="E37" s="3">
        <f>IF(A37&lt;$B$9,$B$3/100/12,$B$10/100/12)</f>
        <v>6.6666666666666671E-3</v>
      </c>
      <c r="F37">
        <f t="shared" si="1"/>
        <v>6463.65</v>
      </c>
      <c r="G37" s="2">
        <f t="shared" si="2"/>
        <v>1900.75</v>
      </c>
      <c r="H37" s="2">
        <f>IF(A37=$B$14,$B$15,0)</f>
        <v>0</v>
      </c>
      <c r="I37" s="2">
        <f t="shared" si="3"/>
        <v>967645.99999999988</v>
      </c>
    </row>
    <row r="38" spans="1:9" x14ac:dyDescent="0.3">
      <c r="A38">
        <f t="shared" si="4"/>
        <v>19</v>
      </c>
      <c r="B38">
        <f t="shared" si="5"/>
        <v>222</v>
      </c>
      <c r="C38" s="2">
        <f t="shared" si="6"/>
        <v>967645.99999999988</v>
      </c>
      <c r="D38" s="2">
        <f t="shared" si="0"/>
        <v>8364.4006899346277</v>
      </c>
      <c r="E38" s="3">
        <f>IF(A38&lt;$B$9,$B$3/100/12,$B$10/100/12)</f>
        <v>6.6666666666666671E-3</v>
      </c>
      <c r="F38">
        <f t="shared" si="1"/>
        <v>6450.97</v>
      </c>
      <c r="G38" s="2">
        <f t="shared" si="2"/>
        <v>1913.43</v>
      </c>
      <c r="H38" s="2">
        <f>IF(A38=$B$14,$B$15,0)</f>
        <v>0</v>
      </c>
      <c r="I38" s="2">
        <f t="shared" si="3"/>
        <v>965732.56999999983</v>
      </c>
    </row>
    <row r="39" spans="1:9" x14ac:dyDescent="0.3">
      <c r="A39">
        <f t="shared" si="4"/>
        <v>20</v>
      </c>
      <c r="B39">
        <f t="shared" si="5"/>
        <v>221</v>
      </c>
      <c r="C39" s="2">
        <f t="shared" si="6"/>
        <v>965732.56999999983</v>
      </c>
      <c r="D39" s="2">
        <f t="shared" si="0"/>
        <v>8364.4006899346277</v>
      </c>
      <c r="E39" s="3">
        <f>IF(A39&lt;$B$9,$B$3/100/12,$B$10/100/12)</f>
        <v>6.6666666666666671E-3</v>
      </c>
      <c r="F39">
        <f t="shared" si="1"/>
        <v>6438.22</v>
      </c>
      <c r="G39" s="2">
        <f t="shared" si="2"/>
        <v>1926.18</v>
      </c>
      <c r="H39" s="2">
        <f>IF(A39=$B$14,$B$15,0)</f>
        <v>0</v>
      </c>
      <c r="I39" s="2">
        <f t="shared" si="3"/>
        <v>963806.38999999978</v>
      </c>
    </row>
    <row r="40" spans="1:9" x14ac:dyDescent="0.3">
      <c r="A40">
        <f t="shared" si="4"/>
        <v>21</v>
      </c>
      <c r="B40">
        <f t="shared" si="5"/>
        <v>220</v>
      </c>
      <c r="C40" s="2">
        <f t="shared" si="6"/>
        <v>963806.38999999978</v>
      </c>
      <c r="D40" s="2">
        <f t="shared" si="0"/>
        <v>8364.4006899346277</v>
      </c>
      <c r="E40" s="3">
        <f>IF(A40&lt;$B$9,$B$3/100/12,$B$10/100/12)</f>
        <v>6.6666666666666671E-3</v>
      </c>
      <c r="F40">
        <f t="shared" si="1"/>
        <v>6425.38</v>
      </c>
      <c r="G40" s="2">
        <f t="shared" si="2"/>
        <v>1939.02</v>
      </c>
      <c r="H40" s="2">
        <f>IF(A40=$B$14,$B$15,0)</f>
        <v>0</v>
      </c>
      <c r="I40" s="2">
        <f t="shared" si="3"/>
        <v>961867.36999999976</v>
      </c>
    </row>
    <row r="41" spans="1:9" x14ac:dyDescent="0.3">
      <c r="A41">
        <f t="shared" si="4"/>
        <v>22</v>
      </c>
      <c r="B41">
        <f t="shared" si="5"/>
        <v>219</v>
      </c>
      <c r="C41" s="2">
        <f t="shared" si="6"/>
        <v>961867.36999999976</v>
      </c>
      <c r="D41" s="2">
        <f t="shared" si="0"/>
        <v>8364.4006899346277</v>
      </c>
      <c r="E41" s="3">
        <f>IF(A41&lt;$B$9,$B$3/100/12,$B$10/100/12)</f>
        <v>6.6666666666666671E-3</v>
      </c>
      <c r="F41">
        <f t="shared" si="1"/>
        <v>6412.45</v>
      </c>
      <c r="G41" s="2">
        <f t="shared" si="2"/>
        <v>1951.95</v>
      </c>
      <c r="H41" s="2">
        <f>IF(A41=$B$14,$B$15,0)</f>
        <v>0</v>
      </c>
      <c r="I41" s="2">
        <f t="shared" si="3"/>
        <v>959915.41999999981</v>
      </c>
    </row>
    <row r="42" spans="1:9" x14ac:dyDescent="0.3">
      <c r="A42">
        <f t="shared" si="4"/>
        <v>23</v>
      </c>
      <c r="B42">
        <f t="shared" si="5"/>
        <v>218</v>
      </c>
      <c r="C42" s="2">
        <f t="shared" si="6"/>
        <v>959915.41999999981</v>
      </c>
      <c r="D42" s="2">
        <f t="shared" si="0"/>
        <v>8364.4006899346277</v>
      </c>
      <c r="E42" s="3">
        <f>IF(A42&lt;$B$9,$B$3/100/12,$B$10/100/12)</f>
        <v>6.6666666666666671E-3</v>
      </c>
      <c r="F42">
        <f t="shared" si="1"/>
        <v>6399.44</v>
      </c>
      <c r="G42" s="2">
        <f t="shared" si="2"/>
        <v>1964.96</v>
      </c>
      <c r="H42" s="2">
        <f>IF(A42=$B$14,$B$15,0)</f>
        <v>0</v>
      </c>
      <c r="I42" s="2">
        <f t="shared" si="3"/>
        <v>957950.45999999985</v>
      </c>
    </row>
    <row r="43" spans="1:9" x14ac:dyDescent="0.3">
      <c r="A43">
        <f t="shared" si="4"/>
        <v>24</v>
      </c>
      <c r="B43">
        <f t="shared" si="5"/>
        <v>217</v>
      </c>
      <c r="C43" s="2">
        <f t="shared" si="6"/>
        <v>957950.45999999985</v>
      </c>
      <c r="D43" s="2">
        <f t="shared" si="0"/>
        <v>8364.4006899346277</v>
      </c>
      <c r="E43" s="3">
        <f>IF(A43&lt;$B$9,$B$3/100/12,$B$10/100/12)</f>
        <v>6.6666666666666671E-3</v>
      </c>
      <c r="F43">
        <f t="shared" si="1"/>
        <v>6386.34</v>
      </c>
      <c r="G43" s="2">
        <f t="shared" si="2"/>
        <v>1978.06</v>
      </c>
      <c r="H43" s="2">
        <f>IF(A43=$B$14,$B$15,0)</f>
        <v>0</v>
      </c>
      <c r="I43" s="2">
        <f t="shared" si="3"/>
        <v>955972.39999999979</v>
      </c>
    </row>
    <row r="44" spans="1:9" x14ac:dyDescent="0.3">
      <c r="A44">
        <f t="shared" si="4"/>
        <v>25</v>
      </c>
      <c r="B44">
        <f t="shared" si="5"/>
        <v>216</v>
      </c>
      <c r="C44" s="2">
        <f t="shared" si="6"/>
        <v>955972.39999999979</v>
      </c>
      <c r="D44" s="2">
        <f t="shared" si="0"/>
        <v>9581.9500000000007</v>
      </c>
      <c r="E44" s="3">
        <f>IF(A44&lt;$B$9,$B$3/100/12,$B$10/100/12)</f>
        <v>8.3333333333333332E-3</v>
      </c>
      <c r="F44">
        <f t="shared" si="1"/>
        <v>7966.44</v>
      </c>
      <c r="G44" s="2">
        <f t="shared" si="2"/>
        <v>1615.51</v>
      </c>
      <c r="H44" s="2">
        <f>IF(A44=$B$14,$B$15,0)</f>
        <v>0</v>
      </c>
      <c r="I44" s="2">
        <f t="shared" si="3"/>
        <v>954356.88999999978</v>
      </c>
    </row>
    <row r="45" spans="1:9" x14ac:dyDescent="0.3">
      <c r="A45">
        <f t="shared" si="4"/>
        <v>26</v>
      </c>
      <c r="B45">
        <f t="shared" si="5"/>
        <v>215</v>
      </c>
      <c r="C45" s="2">
        <f t="shared" si="6"/>
        <v>954356.88999999978</v>
      </c>
      <c r="D45" s="2">
        <f t="shared" si="0"/>
        <v>9581.9500000000007</v>
      </c>
      <c r="E45" s="3">
        <f>IF(A45&lt;$B$9,$B$3/100/12,$B$10/100/12)</f>
        <v>8.3333333333333332E-3</v>
      </c>
      <c r="F45">
        <f t="shared" si="1"/>
        <v>7952.97</v>
      </c>
      <c r="G45" s="2">
        <f t="shared" si="2"/>
        <v>1628.98</v>
      </c>
      <c r="H45" s="2">
        <f>IF(A45=$B$14,$B$15,0)</f>
        <v>0</v>
      </c>
      <c r="I45" s="2">
        <f t="shared" si="3"/>
        <v>952727.9099999998</v>
      </c>
    </row>
    <row r="46" spans="1:9" x14ac:dyDescent="0.3">
      <c r="A46">
        <f t="shared" si="4"/>
        <v>27</v>
      </c>
      <c r="B46">
        <f t="shared" si="5"/>
        <v>214</v>
      </c>
      <c r="C46" s="2">
        <f t="shared" si="6"/>
        <v>952727.9099999998</v>
      </c>
      <c r="D46" s="2">
        <f t="shared" si="0"/>
        <v>9581.9500000000007</v>
      </c>
      <c r="E46" s="3">
        <f>IF(A46&lt;$B$9,$B$3/100/12,$B$10/100/12)</f>
        <v>8.3333333333333332E-3</v>
      </c>
      <c r="F46">
        <f t="shared" si="1"/>
        <v>7939.4</v>
      </c>
      <c r="G46" s="2">
        <f t="shared" si="2"/>
        <v>1642.55</v>
      </c>
      <c r="H46" s="2">
        <f>IF(A46=$B$14,$B$15,0)</f>
        <v>0</v>
      </c>
      <c r="I46" s="2">
        <f t="shared" si="3"/>
        <v>951085.35999999975</v>
      </c>
    </row>
    <row r="47" spans="1:9" x14ac:dyDescent="0.3">
      <c r="A47">
        <f t="shared" si="4"/>
        <v>28</v>
      </c>
      <c r="B47">
        <f t="shared" si="5"/>
        <v>213</v>
      </c>
      <c r="C47" s="2">
        <f t="shared" si="6"/>
        <v>951085.35999999975</v>
      </c>
      <c r="D47" s="2">
        <f t="shared" si="0"/>
        <v>9581.9500000000007</v>
      </c>
      <c r="E47" s="3">
        <f>IF(A47&lt;$B$9,$B$3/100/12,$B$10/100/12)</f>
        <v>8.3333333333333332E-3</v>
      </c>
      <c r="F47">
        <f t="shared" si="1"/>
        <v>7925.71</v>
      </c>
      <c r="G47" s="2">
        <f t="shared" si="2"/>
        <v>1656.24</v>
      </c>
      <c r="H47" s="2">
        <f>IF(A47=$B$14,$B$15,0)</f>
        <v>0</v>
      </c>
      <c r="I47" s="2">
        <f t="shared" si="3"/>
        <v>949429.11999999976</v>
      </c>
    </row>
    <row r="48" spans="1:9" x14ac:dyDescent="0.3">
      <c r="A48">
        <f t="shared" si="4"/>
        <v>29</v>
      </c>
      <c r="B48">
        <f t="shared" si="5"/>
        <v>212</v>
      </c>
      <c r="C48" s="2">
        <f t="shared" si="6"/>
        <v>949429.11999999976</v>
      </c>
      <c r="D48" s="2">
        <f t="shared" si="0"/>
        <v>9581.9500000000007</v>
      </c>
      <c r="E48" s="3">
        <f>IF(A48&lt;$B$9,$B$3/100/12,$B$10/100/12)</f>
        <v>8.3333333333333332E-3</v>
      </c>
      <c r="F48">
        <f t="shared" si="1"/>
        <v>7911.91</v>
      </c>
      <c r="G48" s="2">
        <f t="shared" si="2"/>
        <v>1670.04</v>
      </c>
      <c r="H48" s="2">
        <f>IF(A48=$B$14,$B$15,0)</f>
        <v>0</v>
      </c>
      <c r="I48" s="2">
        <f t="shared" si="3"/>
        <v>947759.07999999973</v>
      </c>
    </row>
    <row r="49" spans="1:9" x14ac:dyDescent="0.3">
      <c r="A49">
        <f t="shared" si="4"/>
        <v>30</v>
      </c>
      <c r="B49">
        <f t="shared" si="5"/>
        <v>211</v>
      </c>
      <c r="C49" s="2">
        <f t="shared" si="6"/>
        <v>947759.07999999973</v>
      </c>
      <c r="D49" s="2">
        <f t="shared" si="0"/>
        <v>9581.9500000000007</v>
      </c>
      <c r="E49" s="3">
        <f>IF(A49&lt;$B$9,$B$3/100/12,$B$10/100/12)</f>
        <v>8.3333333333333332E-3</v>
      </c>
      <c r="F49">
        <f t="shared" si="1"/>
        <v>7897.99</v>
      </c>
      <c r="G49" s="2">
        <f t="shared" si="2"/>
        <v>1683.96</v>
      </c>
      <c r="H49" s="2">
        <f>IF(A49=$B$14,$B$15,0)</f>
        <v>0</v>
      </c>
      <c r="I49" s="2">
        <f t="shared" si="3"/>
        <v>946075.11999999976</v>
      </c>
    </row>
    <row r="50" spans="1:9" x14ac:dyDescent="0.3">
      <c r="A50">
        <f t="shared" si="4"/>
        <v>31</v>
      </c>
      <c r="B50">
        <f t="shared" si="5"/>
        <v>210</v>
      </c>
      <c r="C50" s="2">
        <f t="shared" si="6"/>
        <v>946075.11999999976</v>
      </c>
      <c r="D50" s="2">
        <f t="shared" si="0"/>
        <v>9581.9500000000007</v>
      </c>
      <c r="E50" s="3">
        <f>IF(A50&lt;$B$9,$B$3/100/12,$B$10/100/12)</f>
        <v>8.3333333333333332E-3</v>
      </c>
      <c r="F50">
        <f t="shared" si="1"/>
        <v>7883.96</v>
      </c>
      <c r="G50" s="2">
        <f t="shared" si="2"/>
        <v>1697.99</v>
      </c>
      <c r="H50" s="2">
        <f>IF(A50=$B$14,$B$15,0)</f>
        <v>0</v>
      </c>
      <c r="I50" s="2">
        <f t="shared" si="3"/>
        <v>944377.12999999977</v>
      </c>
    </row>
    <row r="51" spans="1:9" x14ac:dyDescent="0.3">
      <c r="A51">
        <f t="shared" si="4"/>
        <v>32</v>
      </c>
      <c r="B51">
        <f t="shared" si="5"/>
        <v>209</v>
      </c>
      <c r="C51" s="2">
        <f t="shared" si="6"/>
        <v>944377.12999999977</v>
      </c>
      <c r="D51" s="2">
        <f t="shared" si="0"/>
        <v>9581.9500000000007</v>
      </c>
      <c r="E51" s="3">
        <f>IF(A51&lt;$B$9,$B$3/100/12,$B$10/100/12)</f>
        <v>8.3333333333333332E-3</v>
      </c>
      <c r="F51">
        <f t="shared" si="1"/>
        <v>7869.81</v>
      </c>
      <c r="G51" s="2">
        <f t="shared" si="2"/>
        <v>1712.14</v>
      </c>
      <c r="H51" s="2">
        <f>IF(A51=$B$14,$B$15,0)</f>
        <v>0</v>
      </c>
      <c r="I51" s="2">
        <f t="shared" si="3"/>
        <v>942664.98999999976</v>
      </c>
    </row>
    <row r="52" spans="1:9" x14ac:dyDescent="0.3">
      <c r="A52">
        <f t="shared" si="4"/>
        <v>33</v>
      </c>
      <c r="B52">
        <f t="shared" si="5"/>
        <v>208</v>
      </c>
      <c r="C52" s="2">
        <f t="shared" si="6"/>
        <v>942664.98999999976</v>
      </c>
      <c r="D52" s="2">
        <f t="shared" si="0"/>
        <v>9581.9500000000007</v>
      </c>
      <c r="E52" s="3">
        <f>IF(A52&lt;$B$9,$B$3/100/12,$B$10/100/12)</f>
        <v>8.3333333333333332E-3</v>
      </c>
      <c r="F52">
        <f t="shared" si="1"/>
        <v>7855.54</v>
      </c>
      <c r="G52" s="2">
        <f t="shared" si="2"/>
        <v>1726.41</v>
      </c>
      <c r="H52" s="2">
        <f>IF(A52=$B$14,$B$15,0)</f>
        <v>0</v>
      </c>
      <c r="I52" s="2">
        <f t="shared" si="3"/>
        <v>940938.57999999973</v>
      </c>
    </row>
    <row r="53" spans="1:9" x14ac:dyDescent="0.3">
      <c r="A53">
        <f t="shared" si="4"/>
        <v>34</v>
      </c>
      <c r="B53">
        <f t="shared" si="5"/>
        <v>207</v>
      </c>
      <c r="C53" s="2">
        <f t="shared" si="6"/>
        <v>940938.57999999973</v>
      </c>
      <c r="D53" s="2">
        <f t="shared" si="0"/>
        <v>9581.9500000000007</v>
      </c>
      <c r="E53" s="3">
        <f>IF(A53&lt;$B$9,$B$3/100/12,$B$10/100/12)</f>
        <v>8.3333333333333332E-3</v>
      </c>
      <c r="F53">
        <f t="shared" si="1"/>
        <v>7841.15</v>
      </c>
      <c r="G53" s="2">
        <f t="shared" si="2"/>
        <v>1740.8</v>
      </c>
      <c r="H53" s="2">
        <f>IF(A53=$B$14,$B$15,0)</f>
        <v>0</v>
      </c>
      <c r="I53" s="2">
        <f t="shared" si="3"/>
        <v>939197.77999999968</v>
      </c>
    </row>
    <row r="54" spans="1:9" x14ac:dyDescent="0.3">
      <c r="A54">
        <f t="shared" si="4"/>
        <v>35</v>
      </c>
      <c r="B54">
        <f t="shared" si="5"/>
        <v>206</v>
      </c>
      <c r="C54" s="2">
        <f t="shared" si="6"/>
        <v>939197.77999999968</v>
      </c>
      <c r="D54" s="2">
        <f t="shared" si="0"/>
        <v>9581.9500000000007</v>
      </c>
      <c r="E54" s="3">
        <f>IF(A54&lt;$B$9,$B$3/100/12,$B$10/100/12)</f>
        <v>8.3333333333333332E-3</v>
      </c>
      <c r="F54">
        <f t="shared" si="1"/>
        <v>7826.65</v>
      </c>
      <c r="G54" s="2">
        <f t="shared" si="2"/>
        <v>1755.3</v>
      </c>
      <c r="H54" s="2">
        <f>IF(A54=$B$14,$B$15,0)</f>
        <v>0</v>
      </c>
      <c r="I54" s="2">
        <f t="shared" si="3"/>
        <v>937442.47999999963</v>
      </c>
    </row>
    <row r="55" spans="1:9" x14ac:dyDescent="0.3">
      <c r="A55">
        <f t="shared" si="4"/>
        <v>36</v>
      </c>
      <c r="B55">
        <f t="shared" si="5"/>
        <v>205</v>
      </c>
      <c r="C55" s="2">
        <f t="shared" si="6"/>
        <v>937442.47999999963</v>
      </c>
      <c r="D55" s="2">
        <f t="shared" si="0"/>
        <v>9581.9500000000007</v>
      </c>
      <c r="E55" s="3">
        <f>IF(A55&lt;$B$9,$B$3/100/12,$B$10/100/12)</f>
        <v>8.3333333333333332E-3</v>
      </c>
      <c r="F55">
        <f t="shared" si="1"/>
        <v>7812.02</v>
      </c>
      <c r="G55" s="2">
        <f t="shared" si="2"/>
        <v>1769.93</v>
      </c>
      <c r="H55" s="2">
        <f>IF(A55=$B$14,$B$15,0)</f>
        <v>0</v>
      </c>
      <c r="I55" s="2">
        <f t="shared" si="3"/>
        <v>935672.54999999958</v>
      </c>
    </row>
    <row r="56" spans="1:9" x14ac:dyDescent="0.3">
      <c r="A56">
        <f t="shared" si="4"/>
        <v>37</v>
      </c>
      <c r="B56">
        <f t="shared" si="5"/>
        <v>204</v>
      </c>
      <c r="C56" s="2">
        <f t="shared" si="6"/>
        <v>935672.54999999958</v>
      </c>
      <c r="D56" s="2">
        <f t="shared" si="0"/>
        <v>9581.9500000000007</v>
      </c>
      <c r="E56" s="3">
        <f>IF(A56&lt;$B$9,$B$3/100/12,$B$10/100/12)</f>
        <v>8.3333333333333332E-3</v>
      </c>
      <c r="F56">
        <f t="shared" si="1"/>
        <v>7797.27</v>
      </c>
      <c r="G56" s="2">
        <f t="shared" si="2"/>
        <v>1784.68</v>
      </c>
      <c r="H56" s="2">
        <f>IF(A56=$B$14,$B$15,0)</f>
        <v>0</v>
      </c>
      <c r="I56" s="2">
        <f t="shared" si="3"/>
        <v>933887.86999999953</v>
      </c>
    </row>
    <row r="57" spans="1:9" x14ac:dyDescent="0.3">
      <c r="A57">
        <f t="shared" si="4"/>
        <v>38</v>
      </c>
      <c r="B57">
        <f t="shared" si="5"/>
        <v>203</v>
      </c>
      <c r="C57" s="2">
        <f t="shared" si="6"/>
        <v>933887.86999999953</v>
      </c>
      <c r="D57" s="2">
        <f t="shared" si="0"/>
        <v>9581.9500000000007</v>
      </c>
      <c r="E57" s="3">
        <f>IF(A57&lt;$B$9,$B$3/100/12,$B$10/100/12)</f>
        <v>8.3333333333333332E-3</v>
      </c>
      <c r="F57">
        <f t="shared" si="1"/>
        <v>7782.4</v>
      </c>
      <c r="G57" s="2">
        <f t="shared" si="2"/>
        <v>1799.55</v>
      </c>
      <c r="H57" s="2">
        <f>IF(A57=$B$14,$B$15,0)</f>
        <v>0</v>
      </c>
      <c r="I57" s="2">
        <f t="shared" si="3"/>
        <v>932088.31999999948</v>
      </c>
    </row>
    <row r="58" spans="1:9" x14ac:dyDescent="0.3">
      <c r="A58">
        <f t="shared" si="4"/>
        <v>39</v>
      </c>
      <c r="B58">
        <f t="shared" si="5"/>
        <v>202</v>
      </c>
      <c r="C58" s="2">
        <f t="shared" si="6"/>
        <v>932088.31999999948</v>
      </c>
      <c r="D58" s="2">
        <f t="shared" si="0"/>
        <v>9581.9500000000007</v>
      </c>
      <c r="E58" s="3">
        <f>IF(A58&lt;$B$9,$B$3/100/12,$B$10/100/12)</f>
        <v>8.3333333333333332E-3</v>
      </c>
      <c r="F58">
        <f t="shared" si="1"/>
        <v>7767.4</v>
      </c>
      <c r="G58" s="2">
        <f t="shared" si="2"/>
        <v>1814.55</v>
      </c>
      <c r="H58" s="2">
        <f>IF(A58=$B$14,$B$15,0)</f>
        <v>0</v>
      </c>
      <c r="I58" s="2">
        <f t="shared" si="3"/>
        <v>930273.76999999944</v>
      </c>
    </row>
    <row r="59" spans="1:9" x14ac:dyDescent="0.3">
      <c r="A59">
        <f t="shared" si="4"/>
        <v>40</v>
      </c>
      <c r="B59">
        <f t="shared" si="5"/>
        <v>201</v>
      </c>
      <c r="C59" s="2">
        <f t="shared" si="6"/>
        <v>930273.76999999944</v>
      </c>
      <c r="D59" s="2">
        <f t="shared" si="0"/>
        <v>9581.9500000000007</v>
      </c>
      <c r="E59" s="3">
        <f>IF(A59&lt;$B$9,$B$3/100/12,$B$10/100/12)</f>
        <v>8.3333333333333332E-3</v>
      </c>
      <c r="F59">
        <f t="shared" si="1"/>
        <v>7752.28</v>
      </c>
      <c r="G59" s="2">
        <f t="shared" si="2"/>
        <v>1829.67</v>
      </c>
      <c r="H59" s="2">
        <f>IF(A59=$B$14,$B$15,0)</f>
        <v>0</v>
      </c>
      <c r="I59" s="2">
        <f t="shared" si="3"/>
        <v>928444.09999999939</v>
      </c>
    </row>
    <row r="60" spans="1:9" x14ac:dyDescent="0.3">
      <c r="A60">
        <f t="shared" si="4"/>
        <v>41</v>
      </c>
      <c r="B60">
        <f t="shared" si="5"/>
        <v>200</v>
      </c>
      <c r="C60" s="2">
        <f t="shared" si="6"/>
        <v>928444.09999999939</v>
      </c>
      <c r="D60" s="2">
        <f t="shared" si="0"/>
        <v>9581.9500000000007</v>
      </c>
      <c r="E60" s="3">
        <f>IF(A60&lt;$B$9,$B$3/100/12,$B$10/100/12)</f>
        <v>8.3333333333333332E-3</v>
      </c>
      <c r="F60">
        <f t="shared" si="1"/>
        <v>7737.03</v>
      </c>
      <c r="G60" s="2">
        <f t="shared" si="2"/>
        <v>1844.92</v>
      </c>
      <c r="H60" s="2">
        <f>IF(A60=$B$14,$B$15,0)</f>
        <v>0</v>
      </c>
      <c r="I60" s="2">
        <f t="shared" si="3"/>
        <v>926599.17999999935</v>
      </c>
    </row>
    <row r="61" spans="1:9" x14ac:dyDescent="0.3">
      <c r="A61">
        <f t="shared" si="4"/>
        <v>42</v>
      </c>
      <c r="B61">
        <f t="shared" si="5"/>
        <v>199</v>
      </c>
      <c r="C61" s="2">
        <f t="shared" si="6"/>
        <v>926599.17999999935</v>
      </c>
      <c r="D61" s="2">
        <f t="shared" si="0"/>
        <v>9581.9500000000007</v>
      </c>
      <c r="E61" s="3">
        <f>IF(A61&lt;$B$9,$B$3/100/12,$B$10/100/12)</f>
        <v>8.3333333333333332E-3</v>
      </c>
      <c r="F61">
        <f t="shared" si="1"/>
        <v>7721.66</v>
      </c>
      <c r="G61" s="2">
        <f t="shared" si="2"/>
        <v>1860.29</v>
      </c>
      <c r="H61" s="2">
        <f>IF(A61=$B$14,$B$15,0)</f>
        <v>0</v>
      </c>
      <c r="I61" s="2">
        <f t="shared" si="3"/>
        <v>924738.88999999932</v>
      </c>
    </row>
    <row r="62" spans="1:9" x14ac:dyDescent="0.3">
      <c r="A62">
        <f t="shared" si="4"/>
        <v>43</v>
      </c>
      <c r="B62">
        <f t="shared" si="5"/>
        <v>198</v>
      </c>
      <c r="C62" s="2">
        <f t="shared" si="6"/>
        <v>924738.88999999932</v>
      </c>
      <c r="D62" s="2">
        <f t="shared" si="0"/>
        <v>9581.9500000000007</v>
      </c>
      <c r="E62" s="3">
        <f>IF(A62&lt;$B$9,$B$3/100/12,$B$10/100/12)</f>
        <v>8.3333333333333332E-3</v>
      </c>
      <c r="F62">
        <f t="shared" si="1"/>
        <v>7706.16</v>
      </c>
      <c r="G62" s="2">
        <f t="shared" si="2"/>
        <v>1875.79</v>
      </c>
      <c r="H62" s="2">
        <f>IF(A62=$B$14,$B$15,0)</f>
        <v>0</v>
      </c>
      <c r="I62" s="2">
        <f t="shared" si="3"/>
        <v>922863.09999999928</v>
      </c>
    </row>
    <row r="63" spans="1:9" x14ac:dyDescent="0.3">
      <c r="A63">
        <f t="shared" si="4"/>
        <v>44</v>
      </c>
      <c r="B63">
        <f t="shared" si="5"/>
        <v>197</v>
      </c>
      <c r="C63" s="2">
        <f t="shared" si="6"/>
        <v>922863.09999999928</v>
      </c>
      <c r="D63" s="2">
        <f t="shared" si="0"/>
        <v>9581.9500000000007</v>
      </c>
      <c r="E63" s="3">
        <f>IF(A63&lt;$B$9,$B$3/100/12,$B$10/100/12)</f>
        <v>8.3333333333333332E-3</v>
      </c>
      <c r="F63">
        <f t="shared" si="1"/>
        <v>7690.53</v>
      </c>
      <c r="G63" s="2">
        <f t="shared" si="2"/>
        <v>1891.42</v>
      </c>
      <c r="H63" s="2">
        <f>IF(A63=$B$14,$B$15,0)</f>
        <v>0</v>
      </c>
      <c r="I63" s="2">
        <f t="shared" si="3"/>
        <v>920971.67999999924</v>
      </c>
    </row>
    <row r="64" spans="1:9" x14ac:dyDescent="0.3">
      <c r="A64">
        <f t="shared" si="4"/>
        <v>45</v>
      </c>
      <c r="B64">
        <f t="shared" si="5"/>
        <v>196</v>
      </c>
      <c r="C64" s="2">
        <f t="shared" si="6"/>
        <v>920971.67999999924</v>
      </c>
      <c r="D64" s="2">
        <f t="shared" si="0"/>
        <v>9581.9500000000007</v>
      </c>
      <c r="E64" s="3">
        <f>IF(A64&lt;$B$9,$B$3/100/12,$B$10/100/12)</f>
        <v>8.3333333333333332E-3</v>
      </c>
      <c r="F64">
        <f t="shared" si="1"/>
        <v>7674.76</v>
      </c>
      <c r="G64" s="2">
        <f t="shared" si="2"/>
        <v>1907.19</v>
      </c>
      <c r="H64" s="2">
        <f>IF(A64=$B$14,$B$15,0)</f>
        <v>0</v>
      </c>
      <c r="I64" s="2">
        <f t="shared" si="3"/>
        <v>919064.48999999929</v>
      </c>
    </row>
    <row r="65" spans="1:9" x14ac:dyDescent="0.3">
      <c r="A65">
        <f t="shared" si="4"/>
        <v>46</v>
      </c>
      <c r="B65">
        <f t="shared" si="5"/>
        <v>195</v>
      </c>
      <c r="C65" s="2">
        <f t="shared" si="6"/>
        <v>919064.48999999929</v>
      </c>
      <c r="D65" s="2">
        <f t="shared" si="0"/>
        <v>9581.9500000000007</v>
      </c>
      <c r="E65" s="3">
        <f>IF(A65&lt;$B$9,$B$3/100/12,$B$10/100/12)</f>
        <v>8.3333333333333332E-3</v>
      </c>
      <c r="F65">
        <f t="shared" si="1"/>
        <v>7658.87</v>
      </c>
      <c r="G65" s="2">
        <f t="shared" si="2"/>
        <v>1923.08</v>
      </c>
      <c r="H65" s="2">
        <f>IF(A65=$B$14,$B$15,0)</f>
        <v>0</v>
      </c>
      <c r="I65" s="2">
        <f t="shared" si="3"/>
        <v>917141.40999999933</v>
      </c>
    </row>
    <row r="66" spans="1:9" x14ac:dyDescent="0.3">
      <c r="A66">
        <f t="shared" si="4"/>
        <v>47</v>
      </c>
      <c r="B66">
        <f t="shared" si="5"/>
        <v>194</v>
      </c>
      <c r="C66" s="2">
        <f t="shared" si="6"/>
        <v>917141.40999999933</v>
      </c>
      <c r="D66" s="2">
        <f t="shared" si="0"/>
        <v>9581.9500000000007</v>
      </c>
      <c r="E66" s="3">
        <f>IF(A66&lt;$B$9,$B$3/100/12,$B$10/100/12)</f>
        <v>8.3333333333333332E-3</v>
      </c>
      <c r="F66">
        <f t="shared" si="1"/>
        <v>7642.85</v>
      </c>
      <c r="G66" s="2">
        <f t="shared" si="2"/>
        <v>1939.1</v>
      </c>
      <c r="H66" s="2">
        <f>IF(A66=$B$14,$B$15,0)</f>
        <v>0</v>
      </c>
      <c r="I66" s="2">
        <f t="shared" si="3"/>
        <v>915202.30999999936</v>
      </c>
    </row>
    <row r="67" spans="1:9" x14ac:dyDescent="0.3">
      <c r="A67">
        <f t="shared" si="4"/>
        <v>48</v>
      </c>
      <c r="B67">
        <f t="shared" si="5"/>
        <v>193</v>
      </c>
      <c r="C67" s="2">
        <f t="shared" si="6"/>
        <v>915202.30999999936</v>
      </c>
      <c r="D67" s="2">
        <f t="shared" si="0"/>
        <v>9581.9500000000007</v>
      </c>
      <c r="E67" s="3">
        <f>IF(A67&lt;$B$9,$B$3/100/12,$B$10/100/12)</f>
        <v>8.3333333333333332E-3</v>
      </c>
      <c r="F67">
        <f t="shared" si="1"/>
        <v>7626.69</v>
      </c>
      <c r="G67" s="2">
        <f t="shared" si="2"/>
        <v>1955.26</v>
      </c>
      <c r="H67" s="2">
        <f>IF(A67=$B$14,$B$15,0)</f>
        <v>0</v>
      </c>
      <c r="I67" s="2">
        <f t="shared" si="3"/>
        <v>913247.04999999935</v>
      </c>
    </row>
    <row r="68" spans="1:9" x14ac:dyDescent="0.3">
      <c r="A68">
        <f t="shared" si="4"/>
        <v>49</v>
      </c>
      <c r="B68">
        <f t="shared" si="5"/>
        <v>192</v>
      </c>
      <c r="C68" s="2">
        <f t="shared" si="6"/>
        <v>913247.04999999935</v>
      </c>
      <c r="D68" s="2">
        <f t="shared" si="0"/>
        <v>9581.9500000000007</v>
      </c>
      <c r="E68" s="3">
        <f>IF(A68&lt;$B$9,$B$3/100/12,$B$10/100/12)</f>
        <v>8.3333333333333332E-3</v>
      </c>
      <c r="F68">
        <f t="shared" si="1"/>
        <v>7610.39</v>
      </c>
      <c r="G68" s="2">
        <f t="shared" si="2"/>
        <v>1971.56</v>
      </c>
      <c r="H68" s="2">
        <f>IF(A68=$B$14,$B$15,0)</f>
        <v>0</v>
      </c>
      <c r="I68" s="2">
        <f t="shared" si="3"/>
        <v>911275.48999999929</v>
      </c>
    </row>
    <row r="69" spans="1:9" x14ac:dyDescent="0.3">
      <c r="A69">
        <f t="shared" si="4"/>
        <v>50</v>
      </c>
      <c r="B69">
        <f t="shared" si="5"/>
        <v>191</v>
      </c>
      <c r="C69" s="2">
        <f t="shared" si="6"/>
        <v>911275.48999999929</v>
      </c>
      <c r="D69" s="2">
        <f t="shared" si="0"/>
        <v>9581.9500000000007</v>
      </c>
      <c r="E69" s="3">
        <f>IF(A69&lt;$B$9,$B$3/100/12,$B$10/100/12)</f>
        <v>8.3333333333333332E-3</v>
      </c>
      <c r="F69">
        <f t="shared" si="1"/>
        <v>7593.96</v>
      </c>
      <c r="G69" s="2">
        <f t="shared" si="2"/>
        <v>1987.99</v>
      </c>
      <c r="H69" s="2">
        <f>IF(A69=$B$14,$B$15,0)</f>
        <v>0</v>
      </c>
      <c r="I69" s="2">
        <f t="shared" si="3"/>
        <v>909287.4999999993</v>
      </c>
    </row>
    <row r="70" spans="1:9" x14ac:dyDescent="0.3">
      <c r="A70">
        <f t="shared" si="4"/>
        <v>51</v>
      </c>
      <c r="B70">
        <f t="shared" si="5"/>
        <v>190</v>
      </c>
      <c r="C70" s="2">
        <f t="shared" si="6"/>
        <v>909287.4999999993</v>
      </c>
      <c r="D70" s="2">
        <f t="shared" si="0"/>
        <v>9581.9500000000007</v>
      </c>
      <c r="E70" s="3">
        <f>IF(A70&lt;$B$9,$B$3/100/12,$B$10/100/12)</f>
        <v>8.3333333333333332E-3</v>
      </c>
      <c r="F70">
        <f t="shared" si="1"/>
        <v>7577.4</v>
      </c>
      <c r="G70" s="2">
        <f t="shared" si="2"/>
        <v>2004.55</v>
      </c>
      <c r="H70" s="2">
        <f>IF(A70=$B$14,$B$15,0)</f>
        <v>0</v>
      </c>
      <c r="I70" s="2">
        <f t="shared" si="3"/>
        <v>907282.94999999925</v>
      </c>
    </row>
    <row r="71" spans="1:9" x14ac:dyDescent="0.3">
      <c r="A71">
        <f t="shared" si="4"/>
        <v>52</v>
      </c>
      <c r="B71">
        <f t="shared" si="5"/>
        <v>189</v>
      </c>
      <c r="C71" s="2">
        <f t="shared" si="6"/>
        <v>907282.94999999925</v>
      </c>
      <c r="D71" s="2">
        <f t="shared" si="0"/>
        <v>9581.9500000000007</v>
      </c>
      <c r="E71" s="3">
        <f>IF(A71&lt;$B$9,$B$3/100/12,$B$10/100/12)</f>
        <v>8.3333333333333332E-3</v>
      </c>
      <c r="F71">
        <f t="shared" si="1"/>
        <v>7560.69</v>
      </c>
      <c r="G71" s="2">
        <f t="shared" si="2"/>
        <v>2021.26</v>
      </c>
      <c r="H71" s="2">
        <f>IF(A71=$B$14,$B$15,0)</f>
        <v>0</v>
      </c>
      <c r="I71" s="2">
        <f t="shared" si="3"/>
        <v>905261.68999999925</v>
      </c>
    </row>
    <row r="72" spans="1:9" x14ac:dyDescent="0.3">
      <c r="A72">
        <f t="shared" si="4"/>
        <v>53</v>
      </c>
      <c r="B72">
        <f t="shared" si="5"/>
        <v>188</v>
      </c>
      <c r="C72" s="2">
        <f t="shared" si="6"/>
        <v>905261.68999999925</v>
      </c>
      <c r="D72" s="2">
        <f t="shared" si="0"/>
        <v>9581.9500000000007</v>
      </c>
      <c r="E72" s="3">
        <f>IF(A72&lt;$B$9,$B$3/100/12,$B$10/100/12)</f>
        <v>8.3333333333333332E-3</v>
      </c>
      <c r="F72">
        <f t="shared" si="1"/>
        <v>7543.85</v>
      </c>
      <c r="G72" s="2">
        <f t="shared" si="2"/>
        <v>2038.1</v>
      </c>
      <c r="H72" s="2">
        <f>IF(A72=$B$14,$B$15,0)</f>
        <v>0</v>
      </c>
      <c r="I72" s="2">
        <f t="shared" si="3"/>
        <v>903223.58999999927</v>
      </c>
    </row>
    <row r="73" spans="1:9" x14ac:dyDescent="0.3">
      <c r="A73">
        <f t="shared" si="4"/>
        <v>54</v>
      </c>
      <c r="B73">
        <f t="shared" si="5"/>
        <v>187</v>
      </c>
      <c r="C73" s="2">
        <f t="shared" si="6"/>
        <v>903223.58999999927</v>
      </c>
      <c r="D73" s="2">
        <f t="shared" si="0"/>
        <v>9581.9500000000007</v>
      </c>
      <c r="E73" s="3">
        <f>IF(A73&lt;$B$9,$B$3/100/12,$B$10/100/12)</f>
        <v>8.3333333333333332E-3</v>
      </c>
      <c r="F73">
        <f t="shared" si="1"/>
        <v>7526.86</v>
      </c>
      <c r="G73" s="2">
        <f t="shared" si="2"/>
        <v>2055.09</v>
      </c>
      <c r="H73" s="2">
        <f>IF(A73=$B$14,$B$15,0)</f>
        <v>0</v>
      </c>
      <c r="I73" s="2">
        <f t="shared" si="3"/>
        <v>901168.4999999993</v>
      </c>
    </row>
    <row r="74" spans="1:9" x14ac:dyDescent="0.3">
      <c r="A74">
        <f t="shared" si="4"/>
        <v>55</v>
      </c>
      <c r="B74">
        <f t="shared" si="5"/>
        <v>186</v>
      </c>
      <c r="C74" s="2">
        <f t="shared" si="6"/>
        <v>901168.4999999993</v>
      </c>
      <c r="D74" s="2">
        <f t="shared" si="0"/>
        <v>9581.9500000000007</v>
      </c>
      <c r="E74" s="3">
        <f>IF(A74&lt;$B$9,$B$3/100/12,$B$10/100/12)</f>
        <v>8.3333333333333332E-3</v>
      </c>
      <c r="F74">
        <f t="shared" si="1"/>
        <v>7509.74</v>
      </c>
      <c r="G74" s="2">
        <f t="shared" si="2"/>
        <v>2072.21</v>
      </c>
      <c r="H74" s="2">
        <f>IF(A74=$B$14,$B$15,0)</f>
        <v>0</v>
      </c>
      <c r="I74" s="2">
        <f t="shared" si="3"/>
        <v>899096.28999999934</v>
      </c>
    </row>
    <row r="75" spans="1:9" x14ac:dyDescent="0.3">
      <c r="A75">
        <f t="shared" si="4"/>
        <v>56</v>
      </c>
      <c r="B75">
        <f t="shared" si="5"/>
        <v>185</v>
      </c>
      <c r="C75" s="2">
        <f t="shared" si="6"/>
        <v>899096.28999999934</v>
      </c>
      <c r="D75" s="2">
        <f t="shared" si="0"/>
        <v>9581.9500000000007</v>
      </c>
      <c r="E75" s="3">
        <f>IF(A75&lt;$B$9,$B$3/100/12,$B$10/100/12)</f>
        <v>8.3333333333333332E-3</v>
      </c>
      <c r="F75">
        <f t="shared" si="1"/>
        <v>7492.47</v>
      </c>
      <c r="G75" s="2">
        <f t="shared" si="2"/>
        <v>2089.48</v>
      </c>
      <c r="H75" s="2">
        <f>IF(A75=$B$14,$B$15,0)</f>
        <v>0</v>
      </c>
      <c r="I75" s="2">
        <f t="shared" si="3"/>
        <v>897006.80999999936</v>
      </c>
    </row>
    <row r="76" spans="1:9" x14ac:dyDescent="0.3">
      <c r="A76">
        <f t="shared" si="4"/>
        <v>57</v>
      </c>
      <c r="B76">
        <f t="shared" si="5"/>
        <v>184</v>
      </c>
      <c r="C76" s="2">
        <f t="shared" si="6"/>
        <v>897006.80999999936</v>
      </c>
      <c r="D76" s="2">
        <f t="shared" si="0"/>
        <v>9581.9500000000007</v>
      </c>
      <c r="E76" s="3">
        <f>IF(A76&lt;$B$9,$B$3/100/12,$B$10/100/12)</f>
        <v>8.3333333333333332E-3</v>
      </c>
      <c r="F76">
        <f t="shared" si="1"/>
        <v>7475.06</v>
      </c>
      <c r="G76" s="2">
        <f t="shared" si="2"/>
        <v>2106.89</v>
      </c>
      <c r="H76" s="2">
        <f>IF(A76=$B$14,$B$15,0)</f>
        <v>0</v>
      </c>
      <c r="I76" s="2">
        <f t="shared" si="3"/>
        <v>894899.91999999934</v>
      </c>
    </row>
    <row r="77" spans="1:9" x14ac:dyDescent="0.3">
      <c r="A77">
        <f t="shared" si="4"/>
        <v>58</v>
      </c>
      <c r="B77">
        <f t="shared" si="5"/>
        <v>183</v>
      </c>
      <c r="C77" s="2">
        <f t="shared" si="6"/>
        <v>894899.91999999934</v>
      </c>
      <c r="D77" s="2">
        <f t="shared" si="0"/>
        <v>9581.9500000000007</v>
      </c>
      <c r="E77" s="3">
        <f>IF(A77&lt;$B$9,$B$3/100/12,$B$10/100/12)</f>
        <v>8.3333333333333332E-3</v>
      </c>
      <c r="F77">
        <f t="shared" si="1"/>
        <v>7457.5</v>
      </c>
      <c r="G77" s="2">
        <f t="shared" si="2"/>
        <v>2124.4499999999998</v>
      </c>
      <c r="H77" s="2">
        <f>IF(A77=$B$14,$B$15,0)</f>
        <v>0</v>
      </c>
      <c r="I77" s="2">
        <f t="shared" si="3"/>
        <v>892775.46999999939</v>
      </c>
    </row>
    <row r="78" spans="1:9" x14ac:dyDescent="0.3">
      <c r="A78">
        <f t="shared" si="4"/>
        <v>59</v>
      </c>
      <c r="B78">
        <f t="shared" si="5"/>
        <v>182</v>
      </c>
      <c r="C78" s="2">
        <f t="shared" si="6"/>
        <v>892775.46999999939</v>
      </c>
      <c r="D78" s="2">
        <f t="shared" si="0"/>
        <v>9581.9500000000007</v>
      </c>
      <c r="E78" s="3">
        <f>IF(A78&lt;$B$9,$B$3/100/12,$B$10/100/12)</f>
        <v>8.3333333333333332E-3</v>
      </c>
      <c r="F78">
        <f t="shared" si="1"/>
        <v>7439.8</v>
      </c>
      <c r="G78" s="2">
        <f t="shared" si="2"/>
        <v>2142.15</v>
      </c>
      <c r="H78" s="2">
        <f>IF(A78=$B$14,$B$15,0)</f>
        <v>0</v>
      </c>
      <c r="I78" s="2">
        <f t="shared" si="3"/>
        <v>890633.31999999937</v>
      </c>
    </row>
    <row r="79" spans="1:9" x14ac:dyDescent="0.3">
      <c r="A79">
        <f t="shared" si="4"/>
        <v>60</v>
      </c>
      <c r="B79">
        <f t="shared" si="5"/>
        <v>181</v>
      </c>
      <c r="C79" s="2">
        <f t="shared" si="6"/>
        <v>890633.31999999937</v>
      </c>
      <c r="D79" s="2">
        <f t="shared" si="0"/>
        <v>9581.9500000000007</v>
      </c>
      <c r="E79" s="3">
        <f>IF(A79&lt;$B$9,$B$3/100/12,$B$10/100/12)</f>
        <v>8.3333333333333332E-3</v>
      </c>
      <c r="F79">
        <f t="shared" si="1"/>
        <v>7421.94</v>
      </c>
      <c r="G79" s="2">
        <f t="shared" si="2"/>
        <v>2160.0100000000002</v>
      </c>
      <c r="H79" s="2">
        <f>IF(A79=$B$14,$B$15,0)</f>
        <v>200000</v>
      </c>
      <c r="I79" s="2">
        <f t="shared" si="3"/>
        <v>688473.30999999936</v>
      </c>
    </row>
    <row r="80" spans="1:9" x14ac:dyDescent="0.3">
      <c r="A80">
        <f t="shared" si="4"/>
        <v>61</v>
      </c>
      <c r="B80">
        <f t="shared" si="5"/>
        <v>180</v>
      </c>
      <c r="C80" s="2">
        <f t="shared" si="6"/>
        <v>688473.30999999936</v>
      </c>
      <c r="D80" s="2">
        <f t="shared" si="0"/>
        <v>7398.37</v>
      </c>
      <c r="E80" s="3">
        <f>IF(A80&lt;$B$9,$B$3/100/12,$B$10/100/12)</f>
        <v>8.3333333333333332E-3</v>
      </c>
      <c r="F80">
        <f t="shared" si="1"/>
        <v>5737.28</v>
      </c>
      <c r="G80" s="2">
        <f t="shared" si="2"/>
        <v>1661.09</v>
      </c>
      <c r="H80" s="2">
        <f>IF(A80=$B$14,$B$15,0)</f>
        <v>0</v>
      </c>
      <c r="I80" s="2">
        <f t="shared" si="3"/>
        <v>686812.21999999939</v>
      </c>
    </row>
    <row r="81" spans="1:9" x14ac:dyDescent="0.3">
      <c r="A81">
        <f t="shared" si="4"/>
        <v>62</v>
      </c>
      <c r="B81">
        <f t="shared" si="5"/>
        <v>179</v>
      </c>
      <c r="C81" s="2">
        <f t="shared" si="6"/>
        <v>686812.21999999939</v>
      </c>
      <c r="D81" s="2">
        <f t="shared" si="0"/>
        <v>7398.37</v>
      </c>
      <c r="E81" s="3">
        <f>IF(A81&lt;$B$9,$B$3/100/12,$B$10/100/12)</f>
        <v>8.3333333333333332E-3</v>
      </c>
      <c r="F81">
        <f t="shared" si="1"/>
        <v>5723.44</v>
      </c>
      <c r="G81" s="2">
        <f t="shared" si="2"/>
        <v>1674.93</v>
      </c>
      <c r="H81" s="2">
        <f>IF(A81=$B$14,$B$15,0)</f>
        <v>0</v>
      </c>
      <c r="I81" s="2">
        <f t="shared" si="3"/>
        <v>685137.28999999934</v>
      </c>
    </row>
    <row r="82" spans="1:9" x14ac:dyDescent="0.3">
      <c r="A82">
        <f t="shared" si="4"/>
        <v>63</v>
      </c>
      <c r="B82">
        <f t="shared" si="5"/>
        <v>178</v>
      </c>
      <c r="C82" s="2">
        <f t="shared" si="6"/>
        <v>685137.28999999934</v>
      </c>
      <c r="D82" s="2">
        <f t="shared" si="0"/>
        <v>7398.37</v>
      </c>
      <c r="E82" s="3">
        <f>IF(A82&lt;$B$9,$B$3/100/12,$B$10/100/12)</f>
        <v>8.3333333333333332E-3</v>
      </c>
      <c r="F82">
        <f t="shared" si="1"/>
        <v>5709.48</v>
      </c>
      <c r="G82" s="2">
        <f t="shared" si="2"/>
        <v>1688.89</v>
      </c>
      <c r="H82" s="2">
        <f>IF(A82=$B$14,$B$15,0)</f>
        <v>0</v>
      </c>
      <c r="I82" s="2">
        <f t="shared" si="3"/>
        <v>683448.39999999932</v>
      </c>
    </row>
    <row r="83" spans="1:9" x14ac:dyDescent="0.3">
      <c r="A83">
        <f t="shared" si="4"/>
        <v>64</v>
      </c>
      <c r="B83">
        <f t="shared" si="5"/>
        <v>177</v>
      </c>
      <c r="C83" s="2">
        <f t="shared" si="6"/>
        <v>683448.39999999932</v>
      </c>
      <c r="D83" s="2">
        <f t="shared" si="0"/>
        <v>7398.37</v>
      </c>
      <c r="E83" s="3">
        <f>IF(A83&lt;$B$9,$B$3/100/12,$B$10/100/12)</f>
        <v>8.3333333333333332E-3</v>
      </c>
      <c r="F83">
        <f t="shared" si="1"/>
        <v>5695.4</v>
      </c>
      <c r="G83" s="2">
        <f t="shared" si="2"/>
        <v>1702.97</v>
      </c>
      <c r="H83" s="2">
        <f>IF(A83=$B$14,$B$15,0)</f>
        <v>0</v>
      </c>
      <c r="I83" s="2">
        <f t="shared" si="3"/>
        <v>681745.42999999935</v>
      </c>
    </row>
    <row r="84" spans="1:9" x14ac:dyDescent="0.3">
      <c r="A84">
        <f t="shared" si="4"/>
        <v>65</v>
      </c>
      <c r="B84">
        <f t="shared" si="5"/>
        <v>176</v>
      </c>
      <c r="C84" s="2">
        <f t="shared" si="6"/>
        <v>681745.42999999935</v>
      </c>
      <c r="D84" s="2">
        <f t="shared" si="0"/>
        <v>7398.37</v>
      </c>
      <c r="E84" s="3">
        <f>IF(A84&lt;$B$9,$B$3/100/12,$B$10/100/12)</f>
        <v>8.3333333333333332E-3</v>
      </c>
      <c r="F84">
        <f t="shared" si="1"/>
        <v>5681.21</v>
      </c>
      <c r="G84" s="2">
        <f t="shared" si="2"/>
        <v>1717.16</v>
      </c>
      <c r="H84" s="2">
        <f>IF(A84=$B$14,$B$15,0)</f>
        <v>0</v>
      </c>
      <c r="I84" s="2">
        <f t="shared" si="3"/>
        <v>680028.26999999932</v>
      </c>
    </row>
    <row r="85" spans="1:9" x14ac:dyDescent="0.3">
      <c r="A85">
        <f t="shared" si="4"/>
        <v>66</v>
      </c>
      <c r="B85">
        <f t="shared" si="5"/>
        <v>175</v>
      </c>
      <c r="C85" s="2">
        <f t="shared" si="6"/>
        <v>680028.26999999932</v>
      </c>
      <c r="D85" s="2">
        <f t="shared" ref="D85:D148" si="7">IF(A85&lt;$B$9,
     $B$7,
     IF(A85&lt;$B$14,
        $B$12,
        IF(A85=$B$14,
            $B$12,
            $B$17
        )
     )
)</f>
        <v>7398.37</v>
      </c>
      <c r="E85" s="3">
        <f>IF(A85&lt;$B$9,$B$3/100/12,$B$10/100/12)</f>
        <v>8.3333333333333332E-3</v>
      </c>
      <c r="F85">
        <f t="shared" ref="F85:F148" si="8">ROUND(C85*E85,2)</f>
        <v>5666.9</v>
      </c>
      <c r="G85" s="2">
        <f t="shared" ref="G85:G148" si="9">ROUND(IF(D85-F85&gt;C85,C85,D85-F85),2)</f>
        <v>1731.47</v>
      </c>
      <c r="H85" s="2">
        <f>IF(A85=$B$14,$B$15,0)</f>
        <v>0</v>
      </c>
      <c r="I85" s="2">
        <f t="shared" ref="I85:I148" si="10">C85-G85-H85</f>
        <v>678296.79999999935</v>
      </c>
    </row>
    <row r="86" spans="1:9" x14ac:dyDescent="0.3">
      <c r="A86">
        <f t="shared" ref="A86:A149" si="11">A85+1</f>
        <v>67</v>
      </c>
      <c r="B86">
        <f t="shared" ref="B86:B149" si="12">B85-1</f>
        <v>174</v>
      </c>
      <c r="C86" s="2">
        <f t="shared" ref="C86:C149" si="13">I85</f>
        <v>678296.79999999935</v>
      </c>
      <c r="D86" s="2">
        <f t="shared" si="7"/>
        <v>7398.37</v>
      </c>
      <c r="E86" s="3">
        <f>IF(A86&lt;$B$9,$B$3/100/12,$B$10/100/12)</f>
        <v>8.3333333333333332E-3</v>
      </c>
      <c r="F86">
        <f t="shared" si="8"/>
        <v>5652.47</v>
      </c>
      <c r="G86" s="2">
        <f t="shared" si="9"/>
        <v>1745.9</v>
      </c>
      <c r="H86" s="2">
        <f>IF(A86=$B$14,$B$15,0)</f>
        <v>0</v>
      </c>
      <c r="I86" s="2">
        <f t="shared" si="10"/>
        <v>676550.89999999932</v>
      </c>
    </row>
    <row r="87" spans="1:9" x14ac:dyDescent="0.3">
      <c r="A87">
        <f t="shared" si="11"/>
        <v>68</v>
      </c>
      <c r="B87">
        <f t="shared" si="12"/>
        <v>173</v>
      </c>
      <c r="C87" s="2">
        <f t="shared" si="13"/>
        <v>676550.89999999932</v>
      </c>
      <c r="D87" s="2">
        <f t="shared" si="7"/>
        <v>7398.37</v>
      </c>
      <c r="E87" s="3">
        <f>IF(A87&lt;$B$9,$B$3/100/12,$B$10/100/12)</f>
        <v>8.3333333333333332E-3</v>
      </c>
      <c r="F87">
        <f t="shared" si="8"/>
        <v>5637.92</v>
      </c>
      <c r="G87" s="2">
        <f t="shared" si="9"/>
        <v>1760.45</v>
      </c>
      <c r="H87" s="2">
        <f>IF(A87=$B$14,$B$15,0)</f>
        <v>0</v>
      </c>
      <c r="I87" s="2">
        <f t="shared" si="10"/>
        <v>674790.44999999937</v>
      </c>
    </row>
    <row r="88" spans="1:9" x14ac:dyDescent="0.3">
      <c r="A88">
        <f t="shared" si="11"/>
        <v>69</v>
      </c>
      <c r="B88">
        <f t="shared" si="12"/>
        <v>172</v>
      </c>
      <c r="C88" s="2">
        <f t="shared" si="13"/>
        <v>674790.44999999937</v>
      </c>
      <c r="D88" s="2">
        <f t="shared" si="7"/>
        <v>7398.37</v>
      </c>
      <c r="E88" s="3">
        <f>IF(A88&lt;$B$9,$B$3/100/12,$B$10/100/12)</f>
        <v>8.3333333333333332E-3</v>
      </c>
      <c r="F88">
        <f t="shared" si="8"/>
        <v>5623.25</v>
      </c>
      <c r="G88" s="2">
        <f t="shared" si="9"/>
        <v>1775.12</v>
      </c>
      <c r="H88" s="2">
        <f>IF(A88=$B$14,$B$15,0)</f>
        <v>0</v>
      </c>
      <c r="I88" s="2">
        <f t="shared" si="10"/>
        <v>673015.32999999938</v>
      </c>
    </row>
    <row r="89" spans="1:9" x14ac:dyDescent="0.3">
      <c r="A89">
        <f t="shared" si="11"/>
        <v>70</v>
      </c>
      <c r="B89">
        <f t="shared" si="12"/>
        <v>171</v>
      </c>
      <c r="C89" s="2">
        <f t="shared" si="13"/>
        <v>673015.32999999938</v>
      </c>
      <c r="D89" s="2">
        <f t="shared" si="7"/>
        <v>7398.37</v>
      </c>
      <c r="E89" s="3">
        <f>IF(A89&lt;$B$9,$B$3/100/12,$B$10/100/12)</f>
        <v>8.3333333333333332E-3</v>
      </c>
      <c r="F89">
        <f t="shared" si="8"/>
        <v>5608.46</v>
      </c>
      <c r="G89" s="2">
        <f t="shared" si="9"/>
        <v>1789.91</v>
      </c>
      <c r="H89" s="2">
        <f>IF(A89=$B$14,$B$15,0)</f>
        <v>0</v>
      </c>
      <c r="I89" s="2">
        <f t="shared" si="10"/>
        <v>671225.41999999934</v>
      </c>
    </row>
    <row r="90" spans="1:9" x14ac:dyDescent="0.3">
      <c r="A90">
        <f t="shared" si="11"/>
        <v>71</v>
      </c>
      <c r="B90">
        <f t="shared" si="12"/>
        <v>170</v>
      </c>
      <c r="C90" s="2">
        <f t="shared" si="13"/>
        <v>671225.41999999934</v>
      </c>
      <c r="D90" s="2">
        <f t="shared" si="7"/>
        <v>7398.37</v>
      </c>
      <c r="E90" s="3">
        <f>IF(A90&lt;$B$9,$B$3/100/12,$B$10/100/12)</f>
        <v>8.3333333333333332E-3</v>
      </c>
      <c r="F90">
        <f t="shared" si="8"/>
        <v>5593.55</v>
      </c>
      <c r="G90" s="2">
        <f t="shared" si="9"/>
        <v>1804.82</v>
      </c>
      <c r="H90" s="2">
        <f>IF(A90=$B$14,$B$15,0)</f>
        <v>0</v>
      </c>
      <c r="I90" s="2">
        <f t="shared" si="10"/>
        <v>669420.59999999939</v>
      </c>
    </row>
    <row r="91" spans="1:9" x14ac:dyDescent="0.3">
      <c r="A91">
        <f t="shared" si="11"/>
        <v>72</v>
      </c>
      <c r="B91">
        <f t="shared" si="12"/>
        <v>169</v>
      </c>
      <c r="C91" s="2">
        <f t="shared" si="13"/>
        <v>669420.59999999939</v>
      </c>
      <c r="D91" s="2">
        <f t="shared" si="7"/>
        <v>7398.37</v>
      </c>
      <c r="E91" s="3">
        <f>IF(A91&lt;$B$9,$B$3/100/12,$B$10/100/12)</f>
        <v>8.3333333333333332E-3</v>
      </c>
      <c r="F91">
        <f t="shared" si="8"/>
        <v>5578.5</v>
      </c>
      <c r="G91" s="2">
        <f t="shared" si="9"/>
        <v>1819.87</v>
      </c>
      <c r="H91" s="2">
        <f>IF(A91=$B$14,$B$15,0)</f>
        <v>0</v>
      </c>
      <c r="I91" s="2">
        <f t="shared" si="10"/>
        <v>667600.7299999994</v>
      </c>
    </row>
    <row r="92" spans="1:9" x14ac:dyDescent="0.3">
      <c r="A92">
        <f t="shared" si="11"/>
        <v>73</v>
      </c>
      <c r="B92">
        <f t="shared" si="12"/>
        <v>168</v>
      </c>
      <c r="C92" s="2">
        <f t="shared" si="13"/>
        <v>667600.7299999994</v>
      </c>
      <c r="D92" s="2">
        <f t="shared" si="7"/>
        <v>7398.37</v>
      </c>
      <c r="E92" s="3">
        <f>IF(A92&lt;$B$9,$B$3/100/12,$B$10/100/12)</f>
        <v>8.3333333333333332E-3</v>
      </c>
      <c r="F92">
        <f t="shared" si="8"/>
        <v>5563.34</v>
      </c>
      <c r="G92" s="2">
        <f t="shared" si="9"/>
        <v>1835.03</v>
      </c>
      <c r="H92" s="2">
        <f>IF(A92=$B$14,$B$15,0)</f>
        <v>0</v>
      </c>
      <c r="I92" s="2">
        <f t="shared" si="10"/>
        <v>665765.69999999937</v>
      </c>
    </row>
    <row r="93" spans="1:9" x14ac:dyDescent="0.3">
      <c r="A93">
        <f t="shared" si="11"/>
        <v>74</v>
      </c>
      <c r="B93">
        <f t="shared" si="12"/>
        <v>167</v>
      </c>
      <c r="C93" s="2">
        <f t="shared" si="13"/>
        <v>665765.69999999937</v>
      </c>
      <c r="D93" s="2">
        <f t="shared" si="7"/>
        <v>7398.37</v>
      </c>
      <c r="E93" s="3">
        <f>IF(A93&lt;$B$9,$B$3/100/12,$B$10/100/12)</f>
        <v>8.3333333333333332E-3</v>
      </c>
      <c r="F93">
        <f t="shared" si="8"/>
        <v>5548.05</v>
      </c>
      <c r="G93" s="2">
        <f t="shared" si="9"/>
        <v>1850.32</v>
      </c>
      <c r="H93" s="2">
        <f>IF(A93=$B$14,$B$15,0)</f>
        <v>0</v>
      </c>
      <c r="I93" s="2">
        <f t="shared" si="10"/>
        <v>663915.37999999942</v>
      </c>
    </row>
    <row r="94" spans="1:9" x14ac:dyDescent="0.3">
      <c r="A94">
        <f t="shared" si="11"/>
        <v>75</v>
      </c>
      <c r="B94">
        <f t="shared" si="12"/>
        <v>166</v>
      </c>
      <c r="C94" s="2">
        <f t="shared" si="13"/>
        <v>663915.37999999942</v>
      </c>
      <c r="D94" s="2">
        <f t="shared" si="7"/>
        <v>7398.37</v>
      </c>
      <c r="E94" s="3">
        <f>IF(A94&lt;$B$9,$B$3/100/12,$B$10/100/12)</f>
        <v>8.3333333333333332E-3</v>
      </c>
      <c r="F94">
        <f t="shared" si="8"/>
        <v>5532.63</v>
      </c>
      <c r="G94" s="2">
        <f t="shared" si="9"/>
        <v>1865.74</v>
      </c>
      <c r="H94" s="2">
        <f>IF(A94=$B$14,$B$15,0)</f>
        <v>0</v>
      </c>
      <c r="I94" s="2">
        <f t="shared" si="10"/>
        <v>662049.63999999943</v>
      </c>
    </row>
    <row r="95" spans="1:9" x14ac:dyDescent="0.3">
      <c r="A95">
        <f t="shared" si="11"/>
        <v>76</v>
      </c>
      <c r="B95">
        <f t="shared" si="12"/>
        <v>165</v>
      </c>
      <c r="C95" s="2">
        <f t="shared" si="13"/>
        <v>662049.63999999943</v>
      </c>
      <c r="D95" s="2">
        <f t="shared" si="7"/>
        <v>7398.37</v>
      </c>
      <c r="E95" s="3">
        <f>IF(A95&lt;$B$9,$B$3/100/12,$B$10/100/12)</f>
        <v>8.3333333333333332E-3</v>
      </c>
      <c r="F95">
        <f t="shared" si="8"/>
        <v>5517.08</v>
      </c>
      <c r="G95" s="2">
        <f t="shared" si="9"/>
        <v>1881.29</v>
      </c>
      <c r="H95" s="2">
        <f>IF(A95=$B$14,$B$15,0)</f>
        <v>0</v>
      </c>
      <c r="I95" s="2">
        <f t="shared" si="10"/>
        <v>660168.34999999939</v>
      </c>
    </row>
    <row r="96" spans="1:9" x14ac:dyDescent="0.3">
      <c r="A96">
        <f t="shared" si="11"/>
        <v>77</v>
      </c>
      <c r="B96">
        <f t="shared" si="12"/>
        <v>164</v>
      </c>
      <c r="C96" s="2">
        <f t="shared" si="13"/>
        <v>660168.34999999939</v>
      </c>
      <c r="D96" s="2">
        <f t="shared" si="7"/>
        <v>7398.37</v>
      </c>
      <c r="E96" s="3">
        <f>IF(A96&lt;$B$9,$B$3/100/12,$B$10/100/12)</f>
        <v>8.3333333333333332E-3</v>
      </c>
      <c r="F96">
        <f t="shared" si="8"/>
        <v>5501.4</v>
      </c>
      <c r="G96" s="2">
        <f t="shared" si="9"/>
        <v>1896.97</v>
      </c>
      <c r="H96" s="2">
        <f>IF(A96=$B$14,$B$15,0)</f>
        <v>0</v>
      </c>
      <c r="I96" s="2">
        <f t="shared" si="10"/>
        <v>658271.37999999942</v>
      </c>
    </row>
    <row r="97" spans="1:9" x14ac:dyDescent="0.3">
      <c r="A97">
        <f t="shared" si="11"/>
        <v>78</v>
      </c>
      <c r="B97">
        <f t="shared" si="12"/>
        <v>163</v>
      </c>
      <c r="C97" s="2">
        <f t="shared" si="13"/>
        <v>658271.37999999942</v>
      </c>
      <c r="D97" s="2">
        <f t="shared" si="7"/>
        <v>7398.37</v>
      </c>
      <c r="E97" s="3">
        <f>IF(A97&lt;$B$9,$B$3/100/12,$B$10/100/12)</f>
        <v>8.3333333333333332E-3</v>
      </c>
      <c r="F97">
        <f t="shared" si="8"/>
        <v>5485.59</v>
      </c>
      <c r="G97" s="2">
        <f t="shared" si="9"/>
        <v>1912.78</v>
      </c>
      <c r="H97" s="2">
        <f>IF(A97=$B$14,$B$15,0)</f>
        <v>0</v>
      </c>
      <c r="I97" s="2">
        <f t="shared" si="10"/>
        <v>656358.59999999939</v>
      </c>
    </row>
    <row r="98" spans="1:9" x14ac:dyDescent="0.3">
      <c r="A98">
        <f t="shared" si="11"/>
        <v>79</v>
      </c>
      <c r="B98">
        <f t="shared" si="12"/>
        <v>162</v>
      </c>
      <c r="C98" s="2">
        <f t="shared" si="13"/>
        <v>656358.59999999939</v>
      </c>
      <c r="D98" s="2">
        <f t="shared" si="7"/>
        <v>7398.37</v>
      </c>
      <c r="E98" s="3">
        <f>IF(A98&lt;$B$9,$B$3/100/12,$B$10/100/12)</f>
        <v>8.3333333333333332E-3</v>
      </c>
      <c r="F98">
        <f t="shared" si="8"/>
        <v>5469.66</v>
      </c>
      <c r="G98" s="2">
        <f t="shared" si="9"/>
        <v>1928.71</v>
      </c>
      <c r="H98" s="2">
        <f>IF(A98=$B$14,$B$15,0)</f>
        <v>0</v>
      </c>
      <c r="I98" s="2">
        <f t="shared" si="10"/>
        <v>654429.88999999943</v>
      </c>
    </row>
    <row r="99" spans="1:9" x14ac:dyDescent="0.3">
      <c r="A99">
        <f t="shared" si="11"/>
        <v>80</v>
      </c>
      <c r="B99">
        <f t="shared" si="12"/>
        <v>161</v>
      </c>
      <c r="C99" s="2">
        <f t="shared" si="13"/>
        <v>654429.88999999943</v>
      </c>
      <c r="D99" s="2">
        <f t="shared" si="7"/>
        <v>7398.37</v>
      </c>
      <c r="E99" s="3">
        <f>IF(A99&lt;$B$9,$B$3/100/12,$B$10/100/12)</f>
        <v>8.3333333333333332E-3</v>
      </c>
      <c r="F99">
        <f t="shared" si="8"/>
        <v>5453.58</v>
      </c>
      <c r="G99" s="2">
        <f t="shared" si="9"/>
        <v>1944.79</v>
      </c>
      <c r="H99" s="2">
        <f>IF(A99=$B$14,$B$15,0)</f>
        <v>0</v>
      </c>
      <c r="I99" s="2">
        <f t="shared" si="10"/>
        <v>652485.09999999939</v>
      </c>
    </row>
    <row r="100" spans="1:9" x14ac:dyDescent="0.3">
      <c r="A100">
        <f t="shared" si="11"/>
        <v>81</v>
      </c>
      <c r="B100">
        <f t="shared" si="12"/>
        <v>160</v>
      </c>
      <c r="C100" s="2">
        <f t="shared" si="13"/>
        <v>652485.09999999939</v>
      </c>
      <c r="D100" s="2">
        <f t="shared" si="7"/>
        <v>7398.37</v>
      </c>
      <c r="E100" s="3">
        <f>IF(A100&lt;$B$9,$B$3/100/12,$B$10/100/12)</f>
        <v>8.3333333333333332E-3</v>
      </c>
      <c r="F100">
        <f t="shared" si="8"/>
        <v>5437.38</v>
      </c>
      <c r="G100" s="2">
        <f t="shared" si="9"/>
        <v>1960.99</v>
      </c>
      <c r="H100" s="2">
        <f>IF(A100=$B$14,$B$15,0)</f>
        <v>0</v>
      </c>
      <c r="I100" s="2">
        <f t="shared" si="10"/>
        <v>650524.1099999994</v>
      </c>
    </row>
    <row r="101" spans="1:9" x14ac:dyDescent="0.3">
      <c r="A101">
        <f t="shared" si="11"/>
        <v>82</v>
      </c>
      <c r="B101">
        <f t="shared" si="12"/>
        <v>159</v>
      </c>
      <c r="C101" s="2">
        <f t="shared" si="13"/>
        <v>650524.1099999994</v>
      </c>
      <c r="D101" s="2">
        <f t="shared" si="7"/>
        <v>7398.37</v>
      </c>
      <c r="E101" s="3">
        <f>IF(A101&lt;$B$9,$B$3/100/12,$B$10/100/12)</f>
        <v>8.3333333333333332E-3</v>
      </c>
      <c r="F101">
        <f t="shared" si="8"/>
        <v>5421.03</v>
      </c>
      <c r="G101" s="2">
        <f t="shared" si="9"/>
        <v>1977.34</v>
      </c>
      <c r="H101" s="2">
        <f>IF(A101=$B$14,$B$15,0)</f>
        <v>0</v>
      </c>
      <c r="I101" s="2">
        <f t="shared" si="10"/>
        <v>648546.76999999944</v>
      </c>
    </row>
    <row r="102" spans="1:9" x14ac:dyDescent="0.3">
      <c r="A102">
        <f t="shared" si="11"/>
        <v>83</v>
      </c>
      <c r="B102">
        <f t="shared" si="12"/>
        <v>158</v>
      </c>
      <c r="C102" s="2">
        <f t="shared" si="13"/>
        <v>648546.76999999944</v>
      </c>
      <c r="D102" s="2">
        <f t="shared" si="7"/>
        <v>7398.37</v>
      </c>
      <c r="E102" s="3">
        <f>IF(A102&lt;$B$9,$B$3/100/12,$B$10/100/12)</f>
        <v>8.3333333333333332E-3</v>
      </c>
      <c r="F102">
        <f t="shared" si="8"/>
        <v>5404.56</v>
      </c>
      <c r="G102" s="2">
        <f t="shared" si="9"/>
        <v>1993.81</v>
      </c>
      <c r="H102" s="2">
        <f>IF(A102=$B$14,$B$15,0)</f>
        <v>0</v>
      </c>
      <c r="I102" s="2">
        <f t="shared" si="10"/>
        <v>646552.95999999938</v>
      </c>
    </row>
    <row r="103" spans="1:9" x14ac:dyDescent="0.3">
      <c r="A103">
        <f t="shared" si="11"/>
        <v>84</v>
      </c>
      <c r="B103">
        <f t="shared" si="12"/>
        <v>157</v>
      </c>
      <c r="C103" s="2">
        <f t="shared" si="13"/>
        <v>646552.95999999938</v>
      </c>
      <c r="D103" s="2">
        <f t="shared" si="7"/>
        <v>7398.37</v>
      </c>
      <c r="E103" s="3">
        <f>IF(A103&lt;$B$9,$B$3/100/12,$B$10/100/12)</f>
        <v>8.3333333333333332E-3</v>
      </c>
      <c r="F103">
        <f t="shared" si="8"/>
        <v>5387.94</v>
      </c>
      <c r="G103" s="2">
        <f t="shared" si="9"/>
        <v>2010.43</v>
      </c>
      <c r="H103" s="2">
        <f>IF(A103=$B$14,$B$15,0)</f>
        <v>0</v>
      </c>
      <c r="I103" s="2">
        <f t="shared" si="10"/>
        <v>644542.52999999933</v>
      </c>
    </row>
    <row r="104" spans="1:9" x14ac:dyDescent="0.3">
      <c r="A104">
        <f t="shared" si="11"/>
        <v>85</v>
      </c>
      <c r="B104">
        <f t="shared" si="12"/>
        <v>156</v>
      </c>
      <c r="C104" s="2">
        <f t="shared" si="13"/>
        <v>644542.52999999933</v>
      </c>
      <c r="D104" s="2">
        <f t="shared" si="7"/>
        <v>7398.37</v>
      </c>
      <c r="E104" s="3">
        <f>IF(A104&lt;$B$9,$B$3/100/12,$B$10/100/12)</f>
        <v>8.3333333333333332E-3</v>
      </c>
      <c r="F104">
        <f t="shared" si="8"/>
        <v>5371.19</v>
      </c>
      <c r="G104" s="2">
        <f t="shared" si="9"/>
        <v>2027.18</v>
      </c>
      <c r="H104" s="2">
        <f>IF(A104=$B$14,$B$15,0)</f>
        <v>0</v>
      </c>
      <c r="I104" s="2">
        <f t="shared" si="10"/>
        <v>642515.34999999928</v>
      </c>
    </row>
    <row r="105" spans="1:9" x14ac:dyDescent="0.3">
      <c r="A105">
        <f t="shared" si="11"/>
        <v>86</v>
      </c>
      <c r="B105">
        <f t="shared" si="12"/>
        <v>155</v>
      </c>
      <c r="C105" s="2">
        <f t="shared" si="13"/>
        <v>642515.34999999928</v>
      </c>
      <c r="D105" s="2">
        <f t="shared" si="7"/>
        <v>7398.37</v>
      </c>
      <c r="E105" s="3">
        <f>IF(A105&lt;$B$9,$B$3/100/12,$B$10/100/12)</f>
        <v>8.3333333333333332E-3</v>
      </c>
      <c r="F105">
        <f t="shared" si="8"/>
        <v>5354.29</v>
      </c>
      <c r="G105" s="2">
        <f t="shared" si="9"/>
        <v>2044.08</v>
      </c>
      <c r="H105" s="2">
        <f>IF(A105=$B$14,$B$15,0)</f>
        <v>0</v>
      </c>
      <c r="I105" s="2">
        <f t="shared" si="10"/>
        <v>640471.26999999932</v>
      </c>
    </row>
    <row r="106" spans="1:9" x14ac:dyDescent="0.3">
      <c r="A106">
        <f t="shared" si="11"/>
        <v>87</v>
      </c>
      <c r="B106">
        <f t="shared" si="12"/>
        <v>154</v>
      </c>
      <c r="C106" s="2">
        <f t="shared" si="13"/>
        <v>640471.26999999932</v>
      </c>
      <c r="D106" s="2">
        <f t="shared" si="7"/>
        <v>7398.37</v>
      </c>
      <c r="E106" s="3">
        <f>IF(A106&lt;$B$9,$B$3/100/12,$B$10/100/12)</f>
        <v>8.3333333333333332E-3</v>
      </c>
      <c r="F106">
        <f t="shared" si="8"/>
        <v>5337.26</v>
      </c>
      <c r="G106" s="2">
        <f t="shared" si="9"/>
        <v>2061.11</v>
      </c>
      <c r="H106" s="2">
        <f>IF(A106=$B$14,$B$15,0)</f>
        <v>0</v>
      </c>
      <c r="I106" s="2">
        <f t="shared" si="10"/>
        <v>638410.15999999933</v>
      </c>
    </row>
    <row r="107" spans="1:9" x14ac:dyDescent="0.3">
      <c r="A107">
        <f t="shared" si="11"/>
        <v>88</v>
      </c>
      <c r="B107">
        <f t="shared" si="12"/>
        <v>153</v>
      </c>
      <c r="C107" s="2">
        <f t="shared" si="13"/>
        <v>638410.15999999933</v>
      </c>
      <c r="D107" s="2">
        <f t="shared" si="7"/>
        <v>7398.37</v>
      </c>
      <c r="E107" s="3">
        <f>IF(A107&lt;$B$9,$B$3/100/12,$B$10/100/12)</f>
        <v>8.3333333333333332E-3</v>
      </c>
      <c r="F107">
        <f t="shared" si="8"/>
        <v>5320.08</v>
      </c>
      <c r="G107" s="2">
        <f t="shared" si="9"/>
        <v>2078.29</v>
      </c>
      <c r="H107" s="2">
        <f>IF(A107=$B$14,$B$15,0)</f>
        <v>0</v>
      </c>
      <c r="I107" s="2">
        <f t="shared" si="10"/>
        <v>636331.8699999993</v>
      </c>
    </row>
    <row r="108" spans="1:9" x14ac:dyDescent="0.3">
      <c r="A108">
        <f t="shared" si="11"/>
        <v>89</v>
      </c>
      <c r="B108">
        <f t="shared" si="12"/>
        <v>152</v>
      </c>
      <c r="C108" s="2">
        <f t="shared" si="13"/>
        <v>636331.8699999993</v>
      </c>
      <c r="D108" s="2">
        <f t="shared" si="7"/>
        <v>7398.37</v>
      </c>
      <c r="E108" s="3">
        <f>IF(A108&lt;$B$9,$B$3/100/12,$B$10/100/12)</f>
        <v>8.3333333333333332E-3</v>
      </c>
      <c r="F108">
        <f t="shared" si="8"/>
        <v>5302.77</v>
      </c>
      <c r="G108" s="2">
        <f t="shared" si="9"/>
        <v>2095.6</v>
      </c>
      <c r="H108" s="2">
        <f>IF(A108=$B$14,$B$15,0)</f>
        <v>0</v>
      </c>
      <c r="I108" s="2">
        <f t="shared" si="10"/>
        <v>634236.26999999932</v>
      </c>
    </row>
    <row r="109" spans="1:9" x14ac:dyDescent="0.3">
      <c r="A109">
        <f t="shared" si="11"/>
        <v>90</v>
      </c>
      <c r="B109">
        <f t="shared" si="12"/>
        <v>151</v>
      </c>
      <c r="C109" s="2">
        <f t="shared" si="13"/>
        <v>634236.26999999932</v>
      </c>
      <c r="D109" s="2">
        <f t="shared" si="7"/>
        <v>7398.37</v>
      </c>
      <c r="E109" s="3">
        <f>IF(A109&lt;$B$9,$B$3/100/12,$B$10/100/12)</f>
        <v>8.3333333333333332E-3</v>
      </c>
      <c r="F109">
        <f t="shared" si="8"/>
        <v>5285.3</v>
      </c>
      <c r="G109" s="2">
        <f t="shared" si="9"/>
        <v>2113.0700000000002</v>
      </c>
      <c r="H109" s="2">
        <f>IF(A109=$B$14,$B$15,0)</f>
        <v>0</v>
      </c>
      <c r="I109" s="2">
        <f t="shared" si="10"/>
        <v>632123.19999999937</v>
      </c>
    </row>
    <row r="110" spans="1:9" x14ac:dyDescent="0.3">
      <c r="A110">
        <f t="shared" si="11"/>
        <v>91</v>
      </c>
      <c r="B110">
        <f t="shared" si="12"/>
        <v>150</v>
      </c>
      <c r="C110" s="2">
        <f t="shared" si="13"/>
        <v>632123.19999999937</v>
      </c>
      <c r="D110" s="2">
        <f t="shared" si="7"/>
        <v>7398.37</v>
      </c>
      <c r="E110" s="3">
        <f>IF(A110&lt;$B$9,$B$3/100/12,$B$10/100/12)</f>
        <v>8.3333333333333332E-3</v>
      </c>
      <c r="F110">
        <f t="shared" si="8"/>
        <v>5267.69</v>
      </c>
      <c r="G110" s="2">
        <f t="shared" si="9"/>
        <v>2130.6799999999998</v>
      </c>
      <c r="H110" s="2">
        <f>IF(A110=$B$14,$B$15,0)</f>
        <v>0</v>
      </c>
      <c r="I110" s="2">
        <f t="shared" si="10"/>
        <v>629992.51999999932</v>
      </c>
    </row>
    <row r="111" spans="1:9" x14ac:dyDescent="0.3">
      <c r="A111">
        <f t="shared" si="11"/>
        <v>92</v>
      </c>
      <c r="B111">
        <f t="shared" si="12"/>
        <v>149</v>
      </c>
      <c r="C111" s="2">
        <f t="shared" si="13"/>
        <v>629992.51999999932</v>
      </c>
      <c r="D111" s="2">
        <f t="shared" si="7"/>
        <v>7398.37</v>
      </c>
      <c r="E111" s="3">
        <f>IF(A111&lt;$B$9,$B$3/100/12,$B$10/100/12)</f>
        <v>8.3333333333333332E-3</v>
      </c>
      <c r="F111">
        <f t="shared" si="8"/>
        <v>5249.94</v>
      </c>
      <c r="G111" s="2">
        <f t="shared" si="9"/>
        <v>2148.4299999999998</v>
      </c>
      <c r="H111" s="2">
        <f>IF(A111=$B$14,$B$15,0)</f>
        <v>0</v>
      </c>
      <c r="I111" s="2">
        <f t="shared" si="10"/>
        <v>627844.08999999927</v>
      </c>
    </row>
    <row r="112" spans="1:9" x14ac:dyDescent="0.3">
      <c r="A112">
        <f t="shared" si="11"/>
        <v>93</v>
      </c>
      <c r="B112">
        <f t="shared" si="12"/>
        <v>148</v>
      </c>
      <c r="C112" s="2">
        <f t="shared" si="13"/>
        <v>627844.08999999927</v>
      </c>
      <c r="D112" s="2">
        <f t="shared" si="7"/>
        <v>7398.37</v>
      </c>
      <c r="E112" s="3">
        <f>IF(A112&lt;$B$9,$B$3/100/12,$B$10/100/12)</f>
        <v>8.3333333333333332E-3</v>
      </c>
      <c r="F112">
        <f t="shared" si="8"/>
        <v>5232.03</v>
      </c>
      <c r="G112" s="2">
        <f t="shared" si="9"/>
        <v>2166.34</v>
      </c>
      <c r="H112" s="2">
        <f>IF(A112=$B$14,$B$15,0)</f>
        <v>0</v>
      </c>
      <c r="I112" s="2">
        <f t="shared" si="10"/>
        <v>625677.7499999993</v>
      </c>
    </row>
    <row r="113" spans="1:9" x14ac:dyDescent="0.3">
      <c r="A113">
        <f t="shared" si="11"/>
        <v>94</v>
      </c>
      <c r="B113">
        <f t="shared" si="12"/>
        <v>147</v>
      </c>
      <c r="C113" s="2">
        <f t="shared" si="13"/>
        <v>625677.7499999993</v>
      </c>
      <c r="D113" s="2">
        <f t="shared" si="7"/>
        <v>7398.37</v>
      </c>
      <c r="E113" s="3">
        <f>IF(A113&lt;$B$9,$B$3/100/12,$B$10/100/12)</f>
        <v>8.3333333333333332E-3</v>
      </c>
      <c r="F113">
        <f t="shared" si="8"/>
        <v>5213.9799999999996</v>
      </c>
      <c r="G113" s="2">
        <f t="shared" si="9"/>
        <v>2184.39</v>
      </c>
      <c r="H113" s="2">
        <f>IF(A113=$B$14,$B$15,0)</f>
        <v>0</v>
      </c>
      <c r="I113" s="2">
        <f t="shared" si="10"/>
        <v>623493.35999999929</v>
      </c>
    </row>
    <row r="114" spans="1:9" x14ac:dyDescent="0.3">
      <c r="A114">
        <f t="shared" si="11"/>
        <v>95</v>
      </c>
      <c r="B114">
        <f t="shared" si="12"/>
        <v>146</v>
      </c>
      <c r="C114" s="2">
        <f t="shared" si="13"/>
        <v>623493.35999999929</v>
      </c>
      <c r="D114" s="2">
        <f t="shared" si="7"/>
        <v>7398.37</v>
      </c>
      <c r="E114" s="3">
        <f>IF(A114&lt;$B$9,$B$3/100/12,$B$10/100/12)</f>
        <v>8.3333333333333332E-3</v>
      </c>
      <c r="F114">
        <f t="shared" si="8"/>
        <v>5195.78</v>
      </c>
      <c r="G114" s="2">
        <f t="shared" si="9"/>
        <v>2202.59</v>
      </c>
      <c r="H114" s="2">
        <f>IF(A114=$B$14,$B$15,0)</f>
        <v>0</v>
      </c>
      <c r="I114" s="2">
        <f t="shared" si="10"/>
        <v>621290.76999999932</v>
      </c>
    </row>
    <row r="115" spans="1:9" x14ac:dyDescent="0.3">
      <c r="A115">
        <f t="shared" si="11"/>
        <v>96</v>
      </c>
      <c r="B115">
        <f t="shared" si="12"/>
        <v>145</v>
      </c>
      <c r="C115" s="2">
        <f t="shared" si="13"/>
        <v>621290.76999999932</v>
      </c>
      <c r="D115" s="2">
        <f t="shared" si="7"/>
        <v>7398.37</v>
      </c>
      <c r="E115" s="3">
        <f>IF(A115&lt;$B$9,$B$3/100/12,$B$10/100/12)</f>
        <v>8.3333333333333332E-3</v>
      </c>
      <c r="F115">
        <f t="shared" si="8"/>
        <v>5177.42</v>
      </c>
      <c r="G115" s="2">
        <f t="shared" si="9"/>
        <v>2220.9499999999998</v>
      </c>
      <c r="H115" s="2">
        <f>IF(A115=$B$14,$B$15,0)</f>
        <v>0</v>
      </c>
      <c r="I115" s="2">
        <f t="shared" si="10"/>
        <v>619069.81999999937</v>
      </c>
    </row>
    <row r="116" spans="1:9" x14ac:dyDescent="0.3">
      <c r="A116">
        <f t="shared" si="11"/>
        <v>97</v>
      </c>
      <c r="B116">
        <f t="shared" si="12"/>
        <v>144</v>
      </c>
      <c r="C116" s="2">
        <f t="shared" si="13"/>
        <v>619069.81999999937</v>
      </c>
      <c r="D116" s="2">
        <f t="shared" si="7"/>
        <v>7398.37</v>
      </c>
      <c r="E116" s="3">
        <f>IF(A116&lt;$B$9,$B$3/100/12,$B$10/100/12)</f>
        <v>8.3333333333333332E-3</v>
      </c>
      <c r="F116">
        <f t="shared" si="8"/>
        <v>5158.92</v>
      </c>
      <c r="G116" s="2">
        <f t="shared" si="9"/>
        <v>2239.4499999999998</v>
      </c>
      <c r="H116" s="2">
        <f>IF(A116=$B$14,$B$15,0)</f>
        <v>0</v>
      </c>
      <c r="I116" s="2">
        <f t="shared" si="10"/>
        <v>616830.36999999941</v>
      </c>
    </row>
    <row r="117" spans="1:9" x14ac:dyDescent="0.3">
      <c r="A117">
        <f t="shared" si="11"/>
        <v>98</v>
      </c>
      <c r="B117">
        <f t="shared" si="12"/>
        <v>143</v>
      </c>
      <c r="C117" s="2">
        <f t="shared" si="13"/>
        <v>616830.36999999941</v>
      </c>
      <c r="D117" s="2">
        <f t="shared" si="7"/>
        <v>7398.37</v>
      </c>
      <c r="E117" s="3">
        <f>IF(A117&lt;$B$9,$B$3/100/12,$B$10/100/12)</f>
        <v>8.3333333333333332E-3</v>
      </c>
      <c r="F117">
        <f t="shared" si="8"/>
        <v>5140.25</v>
      </c>
      <c r="G117" s="2">
        <f t="shared" si="9"/>
        <v>2258.12</v>
      </c>
      <c r="H117" s="2">
        <f>IF(A117=$B$14,$B$15,0)</f>
        <v>0</v>
      </c>
      <c r="I117" s="2">
        <f t="shared" si="10"/>
        <v>614572.24999999942</v>
      </c>
    </row>
    <row r="118" spans="1:9" x14ac:dyDescent="0.3">
      <c r="A118">
        <f t="shared" si="11"/>
        <v>99</v>
      </c>
      <c r="B118">
        <f t="shared" si="12"/>
        <v>142</v>
      </c>
      <c r="C118" s="2">
        <f t="shared" si="13"/>
        <v>614572.24999999942</v>
      </c>
      <c r="D118" s="2">
        <f t="shared" si="7"/>
        <v>7398.37</v>
      </c>
      <c r="E118" s="3">
        <f>IF(A118&lt;$B$9,$B$3/100/12,$B$10/100/12)</f>
        <v>8.3333333333333332E-3</v>
      </c>
      <c r="F118">
        <f t="shared" si="8"/>
        <v>5121.4399999999996</v>
      </c>
      <c r="G118" s="2">
        <f t="shared" si="9"/>
        <v>2276.9299999999998</v>
      </c>
      <c r="H118" s="2">
        <f>IF(A118=$B$14,$B$15,0)</f>
        <v>0</v>
      </c>
      <c r="I118" s="2">
        <f t="shared" si="10"/>
        <v>612295.31999999937</v>
      </c>
    </row>
    <row r="119" spans="1:9" x14ac:dyDescent="0.3">
      <c r="A119">
        <f t="shared" si="11"/>
        <v>100</v>
      </c>
      <c r="B119">
        <f t="shared" si="12"/>
        <v>141</v>
      </c>
      <c r="C119" s="2">
        <f t="shared" si="13"/>
        <v>612295.31999999937</v>
      </c>
      <c r="D119" s="2">
        <f t="shared" si="7"/>
        <v>7398.37</v>
      </c>
      <c r="E119" s="3">
        <f>IF(A119&lt;$B$9,$B$3/100/12,$B$10/100/12)</f>
        <v>8.3333333333333332E-3</v>
      </c>
      <c r="F119">
        <f t="shared" si="8"/>
        <v>5102.46</v>
      </c>
      <c r="G119" s="2">
        <f t="shared" si="9"/>
        <v>2295.91</v>
      </c>
      <c r="H119" s="2">
        <f>IF(A119=$B$14,$B$15,0)</f>
        <v>0</v>
      </c>
      <c r="I119" s="2">
        <f t="shared" si="10"/>
        <v>609999.40999999933</v>
      </c>
    </row>
    <row r="120" spans="1:9" x14ac:dyDescent="0.3">
      <c r="A120">
        <f t="shared" si="11"/>
        <v>101</v>
      </c>
      <c r="B120">
        <f t="shared" si="12"/>
        <v>140</v>
      </c>
      <c r="C120" s="2">
        <f t="shared" si="13"/>
        <v>609999.40999999933</v>
      </c>
      <c r="D120" s="2">
        <f t="shared" si="7"/>
        <v>7398.37</v>
      </c>
      <c r="E120" s="3">
        <f>IF(A120&lt;$B$9,$B$3/100/12,$B$10/100/12)</f>
        <v>8.3333333333333332E-3</v>
      </c>
      <c r="F120">
        <f t="shared" si="8"/>
        <v>5083.33</v>
      </c>
      <c r="G120" s="2">
        <f t="shared" si="9"/>
        <v>2315.04</v>
      </c>
      <c r="H120" s="2">
        <f>IF(A120=$B$14,$B$15,0)</f>
        <v>0</v>
      </c>
      <c r="I120" s="2">
        <f t="shared" si="10"/>
        <v>607684.3699999993</v>
      </c>
    </row>
    <row r="121" spans="1:9" x14ac:dyDescent="0.3">
      <c r="A121">
        <f t="shared" si="11"/>
        <v>102</v>
      </c>
      <c r="B121">
        <f t="shared" si="12"/>
        <v>139</v>
      </c>
      <c r="C121" s="2">
        <f t="shared" si="13"/>
        <v>607684.3699999993</v>
      </c>
      <c r="D121" s="2">
        <f t="shared" si="7"/>
        <v>7398.37</v>
      </c>
      <c r="E121" s="3">
        <f>IF(A121&lt;$B$9,$B$3/100/12,$B$10/100/12)</f>
        <v>8.3333333333333332E-3</v>
      </c>
      <c r="F121">
        <f t="shared" si="8"/>
        <v>5064.04</v>
      </c>
      <c r="G121" s="2">
        <f t="shared" si="9"/>
        <v>2334.33</v>
      </c>
      <c r="H121" s="2">
        <f>IF(A121=$B$14,$B$15,0)</f>
        <v>0</v>
      </c>
      <c r="I121" s="2">
        <f t="shared" si="10"/>
        <v>605350.03999999934</v>
      </c>
    </row>
    <row r="122" spans="1:9" x14ac:dyDescent="0.3">
      <c r="A122">
        <f t="shared" si="11"/>
        <v>103</v>
      </c>
      <c r="B122">
        <f t="shared" si="12"/>
        <v>138</v>
      </c>
      <c r="C122" s="2">
        <f t="shared" si="13"/>
        <v>605350.03999999934</v>
      </c>
      <c r="D122" s="2">
        <f t="shared" si="7"/>
        <v>7398.37</v>
      </c>
      <c r="E122" s="3">
        <f>IF(A122&lt;$B$9,$B$3/100/12,$B$10/100/12)</f>
        <v>8.3333333333333332E-3</v>
      </c>
      <c r="F122">
        <f t="shared" si="8"/>
        <v>5044.58</v>
      </c>
      <c r="G122" s="2">
        <f t="shared" si="9"/>
        <v>2353.79</v>
      </c>
      <c r="H122" s="2">
        <f>IF(A122=$B$14,$B$15,0)</f>
        <v>0</v>
      </c>
      <c r="I122" s="2">
        <f t="shared" si="10"/>
        <v>602996.2499999993</v>
      </c>
    </row>
    <row r="123" spans="1:9" x14ac:dyDescent="0.3">
      <c r="A123">
        <f t="shared" si="11"/>
        <v>104</v>
      </c>
      <c r="B123">
        <f t="shared" si="12"/>
        <v>137</v>
      </c>
      <c r="C123" s="2">
        <f t="shared" si="13"/>
        <v>602996.2499999993</v>
      </c>
      <c r="D123" s="2">
        <f t="shared" si="7"/>
        <v>7398.37</v>
      </c>
      <c r="E123" s="3">
        <f>IF(A123&lt;$B$9,$B$3/100/12,$B$10/100/12)</f>
        <v>8.3333333333333332E-3</v>
      </c>
      <c r="F123">
        <f t="shared" si="8"/>
        <v>5024.97</v>
      </c>
      <c r="G123" s="2">
        <f t="shared" si="9"/>
        <v>2373.4</v>
      </c>
      <c r="H123" s="2">
        <f>IF(A123=$B$14,$B$15,0)</f>
        <v>0</v>
      </c>
      <c r="I123" s="2">
        <f t="shared" si="10"/>
        <v>600622.84999999928</v>
      </c>
    </row>
    <row r="124" spans="1:9" x14ac:dyDescent="0.3">
      <c r="A124">
        <f t="shared" si="11"/>
        <v>105</v>
      </c>
      <c r="B124">
        <f t="shared" si="12"/>
        <v>136</v>
      </c>
      <c r="C124" s="2">
        <f t="shared" si="13"/>
        <v>600622.84999999928</v>
      </c>
      <c r="D124" s="2">
        <f t="shared" si="7"/>
        <v>7398.37</v>
      </c>
      <c r="E124" s="3">
        <f>IF(A124&lt;$B$9,$B$3/100/12,$B$10/100/12)</f>
        <v>8.3333333333333332E-3</v>
      </c>
      <c r="F124">
        <f t="shared" si="8"/>
        <v>5005.1899999999996</v>
      </c>
      <c r="G124" s="2">
        <f t="shared" si="9"/>
        <v>2393.1799999999998</v>
      </c>
      <c r="H124" s="2">
        <f>IF(A124=$B$14,$B$15,0)</f>
        <v>0</v>
      </c>
      <c r="I124" s="2">
        <f t="shared" si="10"/>
        <v>598229.66999999923</v>
      </c>
    </row>
    <row r="125" spans="1:9" x14ac:dyDescent="0.3">
      <c r="A125">
        <f t="shared" si="11"/>
        <v>106</v>
      </c>
      <c r="B125">
        <f t="shared" si="12"/>
        <v>135</v>
      </c>
      <c r="C125" s="2">
        <f t="shared" si="13"/>
        <v>598229.66999999923</v>
      </c>
      <c r="D125" s="2">
        <f t="shared" si="7"/>
        <v>7398.37</v>
      </c>
      <c r="E125" s="3">
        <f>IF(A125&lt;$B$9,$B$3/100/12,$B$10/100/12)</f>
        <v>8.3333333333333332E-3</v>
      </c>
      <c r="F125">
        <f t="shared" si="8"/>
        <v>4985.25</v>
      </c>
      <c r="G125" s="2">
        <f t="shared" si="9"/>
        <v>2413.12</v>
      </c>
      <c r="H125" s="2">
        <f>IF(A125=$B$14,$B$15,0)</f>
        <v>0</v>
      </c>
      <c r="I125" s="2">
        <f t="shared" si="10"/>
        <v>595816.54999999923</v>
      </c>
    </row>
    <row r="126" spans="1:9" x14ac:dyDescent="0.3">
      <c r="A126">
        <f t="shared" si="11"/>
        <v>107</v>
      </c>
      <c r="B126">
        <f t="shared" si="12"/>
        <v>134</v>
      </c>
      <c r="C126" s="2">
        <f t="shared" si="13"/>
        <v>595816.54999999923</v>
      </c>
      <c r="D126" s="2">
        <f t="shared" si="7"/>
        <v>7398.37</v>
      </c>
      <c r="E126" s="3">
        <f>IF(A126&lt;$B$9,$B$3/100/12,$B$10/100/12)</f>
        <v>8.3333333333333332E-3</v>
      </c>
      <c r="F126">
        <f t="shared" si="8"/>
        <v>4965.1400000000003</v>
      </c>
      <c r="G126" s="2">
        <f t="shared" si="9"/>
        <v>2433.23</v>
      </c>
      <c r="H126" s="2">
        <f>IF(A126=$B$14,$B$15,0)</f>
        <v>0</v>
      </c>
      <c r="I126" s="2">
        <f t="shared" si="10"/>
        <v>593383.31999999925</v>
      </c>
    </row>
    <row r="127" spans="1:9" x14ac:dyDescent="0.3">
      <c r="A127">
        <f t="shared" si="11"/>
        <v>108</v>
      </c>
      <c r="B127">
        <f t="shared" si="12"/>
        <v>133</v>
      </c>
      <c r="C127" s="2">
        <f t="shared" si="13"/>
        <v>593383.31999999925</v>
      </c>
      <c r="D127" s="2">
        <f t="shared" si="7"/>
        <v>7398.37</v>
      </c>
      <c r="E127" s="3">
        <f>IF(A127&lt;$B$9,$B$3/100/12,$B$10/100/12)</f>
        <v>8.3333333333333332E-3</v>
      </c>
      <c r="F127">
        <f t="shared" si="8"/>
        <v>4944.8599999999997</v>
      </c>
      <c r="G127" s="2">
        <f t="shared" si="9"/>
        <v>2453.5100000000002</v>
      </c>
      <c r="H127" s="2">
        <f>IF(A127=$B$14,$B$15,0)</f>
        <v>0</v>
      </c>
      <c r="I127" s="2">
        <f t="shared" si="10"/>
        <v>590929.80999999924</v>
      </c>
    </row>
    <row r="128" spans="1:9" x14ac:dyDescent="0.3">
      <c r="A128">
        <f t="shared" si="11"/>
        <v>109</v>
      </c>
      <c r="B128">
        <f t="shared" si="12"/>
        <v>132</v>
      </c>
      <c r="C128" s="2">
        <f t="shared" si="13"/>
        <v>590929.80999999924</v>
      </c>
      <c r="D128" s="2">
        <f t="shared" si="7"/>
        <v>7398.37</v>
      </c>
      <c r="E128" s="3">
        <f>IF(A128&lt;$B$9,$B$3/100/12,$B$10/100/12)</f>
        <v>8.3333333333333332E-3</v>
      </c>
      <c r="F128">
        <f t="shared" si="8"/>
        <v>4924.42</v>
      </c>
      <c r="G128" s="2">
        <f t="shared" si="9"/>
        <v>2473.9499999999998</v>
      </c>
      <c r="H128" s="2">
        <f>IF(A128=$B$14,$B$15,0)</f>
        <v>0</v>
      </c>
      <c r="I128" s="2">
        <f t="shared" si="10"/>
        <v>588455.85999999929</v>
      </c>
    </row>
    <row r="129" spans="1:9" x14ac:dyDescent="0.3">
      <c r="A129">
        <f t="shared" si="11"/>
        <v>110</v>
      </c>
      <c r="B129">
        <f t="shared" si="12"/>
        <v>131</v>
      </c>
      <c r="C129" s="2">
        <f t="shared" si="13"/>
        <v>588455.85999999929</v>
      </c>
      <c r="D129" s="2">
        <f t="shared" si="7"/>
        <v>7398.37</v>
      </c>
      <c r="E129" s="3">
        <f>IF(A129&lt;$B$9,$B$3/100/12,$B$10/100/12)</f>
        <v>8.3333333333333332E-3</v>
      </c>
      <c r="F129">
        <f t="shared" si="8"/>
        <v>4903.8</v>
      </c>
      <c r="G129" s="2">
        <f t="shared" si="9"/>
        <v>2494.5700000000002</v>
      </c>
      <c r="H129" s="2">
        <f>IF(A129=$B$14,$B$15,0)</f>
        <v>0</v>
      </c>
      <c r="I129" s="2">
        <f t="shared" si="10"/>
        <v>585961.28999999934</v>
      </c>
    </row>
    <row r="130" spans="1:9" x14ac:dyDescent="0.3">
      <c r="A130">
        <f t="shared" si="11"/>
        <v>111</v>
      </c>
      <c r="B130">
        <f t="shared" si="12"/>
        <v>130</v>
      </c>
      <c r="C130" s="2">
        <f t="shared" si="13"/>
        <v>585961.28999999934</v>
      </c>
      <c r="D130" s="2">
        <f t="shared" si="7"/>
        <v>7398.37</v>
      </c>
      <c r="E130" s="3">
        <f>IF(A130&lt;$B$9,$B$3/100/12,$B$10/100/12)</f>
        <v>8.3333333333333332E-3</v>
      </c>
      <c r="F130">
        <f t="shared" si="8"/>
        <v>4883.01</v>
      </c>
      <c r="G130" s="2">
        <f t="shared" si="9"/>
        <v>2515.36</v>
      </c>
      <c r="H130" s="2">
        <f>IF(A130=$B$14,$B$15,0)</f>
        <v>0</v>
      </c>
      <c r="I130" s="2">
        <f t="shared" si="10"/>
        <v>583445.92999999935</v>
      </c>
    </row>
    <row r="131" spans="1:9" x14ac:dyDescent="0.3">
      <c r="A131">
        <f t="shared" si="11"/>
        <v>112</v>
      </c>
      <c r="B131">
        <f t="shared" si="12"/>
        <v>129</v>
      </c>
      <c r="C131" s="2">
        <f t="shared" si="13"/>
        <v>583445.92999999935</v>
      </c>
      <c r="D131" s="2">
        <f t="shared" si="7"/>
        <v>7398.37</v>
      </c>
      <c r="E131" s="3">
        <f>IF(A131&lt;$B$9,$B$3/100/12,$B$10/100/12)</f>
        <v>8.3333333333333332E-3</v>
      </c>
      <c r="F131">
        <f t="shared" si="8"/>
        <v>4862.05</v>
      </c>
      <c r="G131" s="2">
        <f t="shared" si="9"/>
        <v>2536.3200000000002</v>
      </c>
      <c r="H131" s="2">
        <f>IF(A131=$B$14,$B$15,0)</f>
        <v>0</v>
      </c>
      <c r="I131" s="2">
        <f t="shared" si="10"/>
        <v>580909.6099999994</v>
      </c>
    </row>
    <row r="132" spans="1:9" x14ac:dyDescent="0.3">
      <c r="A132">
        <f t="shared" si="11"/>
        <v>113</v>
      </c>
      <c r="B132">
        <f t="shared" si="12"/>
        <v>128</v>
      </c>
      <c r="C132" s="2">
        <f t="shared" si="13"/>
        <v>580909.6099999994</v>
      </c>
      <c r="D132" s="2">
        <f t="shared" si="7"/>
        <v>7398.37</v>
      </c>
      <c r="E132" s="3">
        <f>IF(A132&lt;$B$9,$B$3/100/12,$B$10/100/12)</f>
        <v>8.3333333333333332E-3</v>
      </c>
      <c r="F132">
        <f t="shared" si="8"/>
        <v>4840.91</v>
      </c>
      <c r="G132" s="2">
        <f t="shared" si="9"/>
        <v>2557.46</v>
      </c>
      <c r="H132" s="2">
        <f>IF(A132=$B$14,$B$15,0)</f>
        <v>0</v>
      </c>
      <c r="I132" s="2">
        <f t="shared" si="10"/>
        <v>578352.14999999944</v>
      </c>
    </row>
    <row r="133" spans="1:9" x14ac:dyDescent="0.3">
      <c r="A133">
        <f t="shared" si="11"/>
        <v>114</v>
      </c>
      <c r="B133">
        <f t="shared" si="12"/>
        <v>127</v>
      </c>
      <c r="C133" s="2">
        <f t="shared" si="13"/>
        <v>578352.14999999944</v>
      </c>
      <c r="D133" s="2">
        <f t="shared" si="7"/>
        <v>7398.37</v>
      </c>
      <c r="E133" s="3">
        <f>IF(A133&lt;$B$9,$B$3/100/12,$B$10/100/12)</f>
        <v>8.3333333333333332E-3</v>
      </c>
      <c r="F133">
        <f t="shared" si="8"/>
        <v>4819.6000000000004</v>
      </c>
      <c r="G133" s="2">
        <f t="shared" si="9"/>
        <v>2578.77</v>
      </c>
      <c r="H133" s="2">
        <f>IF(A133=$B$14,$B$15,0)</f>
        <v>0</v>
      </c>
      <c r="I133" s="2">
        <f t="shared" si="10"/>
        <v>575773.37999999942</v>
      </c>
    </row>
    <row r="134" spans="1:9" x14ac:dyDescent="0.3">
      <c r="A134">
        <f t="shared" si="11"/>
        <v>115</v>
      </c>
      <c r="B134">
        <f t="shared" si="12"/>
        <v>126</v>
      </c>
      <c r="C134" s="2">
        <f t="shared" si="13"/>
        <v>575773.37999999942</v>
      </c>
      <c r="D134" s="2">
        <f t="shared" si="7"/>
        <v>7398.37</v>
      </c>
      <c r="E134" s="3">
        <f>IF(A134&lt;$B$9,$B$3/100/12,$B$10/100/12)</f>
        <v>8.3333333333333332E-3</v>
      </c>
      <c r="F134">
        <f t="shared" si="8"/>
        <v>4798.1099999999997</v>
      </c>
      <c r="G134" s="2">
        <f t="shared" si="9"/>
        <v>2600.2600000000002</v>
      </c>
      <c r="H134" s="2">
        <f>IF(A134=$B$14,$B$15,0)</f>
        <v>0</v>
      </c>
      <c r="I134" s="2">
        <f t="shared" si="10"/>
        <v>573173.11999999941</v>
      </c>
    </row>
    <row r="135" spans="1:9" x14ac:dyDescent="0.3">
      <c r="A135">
        <f t="shared" si="11"/>
        <v>116</v>
      </c>
      <c r="B135">
        <f t="shared" si="12"/>
        <v>125</v>
      </c>
      <c r="C135" s="2">
        <f t="shared" si="13"/>
        <v>573173.11999999941</v>
      </c>
      <c r="D135" s="2">
        <f t="shared" si="7"/>
        <v>7398.37</v>
      </c>
      <c r="E135" s="3">
        <f>IF(A135&lt;$B$9,$B$3/100/12,$B$10/100/12)</f>
        <v>8.3333333333333332E-3</v>
      </c>
      <c r="F135">
        <f t="shared" si="8"/>
        <v>4776.4399999999996</v>
      </c>
      <c r="G135" s="2">
        <f t="shared" si="9"/>
        <v>2621.93</v>
      </c>
      <c r="H135" s="2">
        <f>IF(A135=$B$14,$B$15,0)</f>
        <v>0</v>
      </c>
      <c r="I135" s="2">
        <f t="shared" si="10"/>
        <v>570551.18999999936</v>
      </c>
    </row>
    <row r="136" spans="1:9" x14ac:dyDescent="0.3">
      <c r="A136">
        <f t="shared" si="11"/>
        <v>117</v>
      </c>
      <c r="B136">
        <f t="shared" si="12"/>
        <v>124</v>
      </c>
      <c r="C136" s="2">
        <f t="shared" si="13"/>
        <v>570551.18999999936</v>
      </c>
      <c r="D136" s="2">
        <f t="shared" si="7"/>
        <v>7398.37</v>
      </c>
      <c r="E136" s="3">
        <f>IF(A136&lt;$B$9,$B$3/100/12,$B$10/100/12)</f>
        <v>8.3333333333333332E-3</v>
      </c>
      <c r="F136">
        <f t="shared" si="8"/>
        <v>4754.59</v>
      </c>
      <c r="G136" s="2">
        <f t="shared" si="9"/>
        <v>2643.78</v>
      </c>
      <c r="H136" s="2">
        <f>IF(A136=$B$14,$B$15,0)</f>
        <v>0</v>
      </c>
      <c r="I136" s="2">
        <f t="shared" si="10"/>
        <v>567907.40999999933</v>
      </c>
    </row>
    <row r="137" spans="1:9" x14ac:dyDescent="0.3">
      <c r="A137">
        <f t="shared" si="11"/>
        <v>118</v>
      </c>
      <c r="B137">
        <f t="shared" si="12"/>
        <v>123</v>
      </c>
      <c r="C137" s="2">
        <f t="shared" si="13"/>
        <v>567907.40999999933</v>
      </c>
      <c r="D137" s="2">
        <f t="shared" si="7"/>
        <v>7398.37</v>
      </c>
      <c r="E137" s="3">
        <f>IF(A137&lt;$B$9,$B$3/100/12,$B$10/100/12)</f>
        <v>8.3333333333333332E-3</v>
      </c>
      <c r="F137">
        <f t="shared" si="8"/>
        <v>4732.5600000000004</v>
      </c>
      <c r="G137" s="2">
        <f t="shared" si="9"/>
        <v>2665.81</v>
      </c>
      <c r="H137" s="2">
        <f>IF(A137=$B$14,$B$15,0)</f>
        <v>0</v>
      </c>
      <c r="I137" s="2">
        <f t="shared" si="10"/>
        <v>565241.59999999928</v>
      </c>
    </row>
    <row r="138" spans="1:9" x14ac:dyDescent="0.3">
      <c r="A138">
        <f t="shared" si="11"/>
        <v>119</v>
      </c>
      <c r="B138">
        <f t="shared" si="12"/>
        <v>122</v>
      </c>
      <c r="C138" s="2">
        <f t="shared" si="13"/>
        <v>565241.59999999928</v>
      </c>
      <c r="D138" s="2">
        <f t="shared" si="7"/>
        <v>7398.37</v>
      </c>
      <c r="E138" s="3">
        <f>IF(A138&lt;$B$9,$B$3/100/12,$B$10/100/12)</f>
        <v>8.3333333333333332E-3</v>
      </c>
      <c r="F138">
        <f t="shared" si="8"/>
        <v>4710.3500000000004</v>
      </c>
      <c r="G138" s="2">
        <f t="shared" si="9"/>
        <v>2688.02</v>
      </c>
      <c r="H138" s="2">
        <f>IF(A138=$B$14,$B$15,0)</f>
        <v>0</v>
      </c>
      <c r="I138" s="2">
        <f t="shared" si="10"/>
        <v>562553.57999999926</v>
      </c>
    </row>
    <row r="139" spans="1:9" x14ac:dyDescent="0.3">
      <c r="A139">
        <f t="shared" si="11"/>
        <v>120</v>
      </c>
      <c r="B139">
        <f t="shared" si="12"/>
        <v>121</v>
      </c>
      <c r="C139" s="2">
        <f t="shared" si="13"/>
        <v>562553.57999999926</v>
      </c>
      <c r="D139" s="2">
        <f t="shared" si="7"/>
        <v>7398.37</v>
      </c>
      <c r="E139" s="3">
        <f>IF(A139&lt;$B$9,$B$3/100/12,$B$10/100/12)</f>
        <v>8.3333333333333332E-3</v>
      </c>
      <c r="F139">
        <f t="shared" si="8"/>
        <v>4687.95</v>
      </c>
      <c r="G139" s="2">
        <f t="shared" si="9"/>
        <v>2710.42</v>
      </c>
      <c r="H139" s="2">
        <f>IF(A139=$B$14,$B$15,0)</f>
        <v>0</v>
      </c>
      <c r="I139" s="2">
        <f t="shared" si="10"/>
        <v>559843.15999999922</v>
      </c>
    </row>
    <row r="140" spans="1:9" x14ac:dyDescent="0.3">
      <c r="A140">
        <f t="shared" si="11"/>
        <v>121</v>
      </c>
      <c r="B140">
        <f t="shared" si="12"/>
        <v>120</v>
      </c>
      <c r="C140" s="2">
        <f t="shared" si="13"/>
        <v>559843.15999999922</v>
      </c>
      <c r="D140" s="2">
        <f t="shared" si="7"/>
        <v>7398.37</v>
      </c>
      <c r="E140" s="3">
        <f>IF(A140&lt;$B$9,$B$3/100/12,$B$10/100/12)</f>
        <v>8.3333333333333332E-3</v>
      </c>
      <c r="F140">
        <f t="shared" si="8"/>
        <v>4665.3599999999997</v>
      </c>
      <c r="G140" s="2">
        <f t="shared" si="9"/>
        <v>2733.01</v>
      </c>
      <c r="H140" s="2">
        <f>IF(A140=$B$14,$B$15,0)</f>
        <v>0</v>
      </c>
      <c r="I140" s="2">
        <f t="shared" si="10"/>
        <v>557110.14999999921</v>
      </c>
    </row>
    <row r="141" spans="1:9" x14ac:dyDescent="0.3">
      <c r="A141">
        <f t="shared" si="11"/>
        <v>122</v>
      </c>
      <c r="B141">
        <f t="shared" si="12"/>
        <v>119</v>
      </c>
      <c r="C141" s="2">
        <f t="shared" si="13"/>
        <v>557110.14999999921</v>
      </c>
      <c r="D141" s="2">
        <f t="shared" si="7"/>
        <v>7398.37</v>
      </c>
      <c r="E141" s="3">
        <f>IF(A141&lt;$B$9,$B$3/100/12,$B$10/100/12)</f>
        <v>8.3333333333333332E-3</v>
      </c>
      <c r="F141">
        <f t="shared" si="8"/>
        <v>4642.58</v>
      </c>
      <c r="G141" s="2">
        <f t="shared" si="9"/>
        <v>2755.79</v>
      </c>
      <c r="H141" s="2">
        <f>IF(A141=$B$14,$B$15,0)</f>
        <v>0</v>
      </c>
      <c r="I141" s="2">
        <f t="shared" si="10"/>
        <v>554354.35999999917</v>
      </c>
    </row>
    <row r="142" spans="1:9" x14ac:dyDescent="0.3">
      <c r="A142">
        <f t="shared" si="11"/>
        <v>123</v>
      </c>
      <c r="B142">
        <f t="shared" si="12"/>
        <v>118</v>
      </c>
      <c r="C142" s="2">
        <f t="shared" si="13"/>
        <v>554354.35999999917</v>
      </c>
      <c r="D142" s="2">
        <f t="shared" si="7"/>
        <v>7398.37</v>
      </c>
      <c r="E142" s="3">
        <f>IF(A142&lt;$B$9,$B$3/100/12,$B$10/100/12)</f>
        <v>8.3333333333333332E-3</v>
      </c>
      <c r="F142">
        <f t="shared" si="8"/>
        <v>4619.62</v>
      </c>
      <c r="G142" s="2">
        <f t="shared" si="9"/>
        <v>2778.75</v>
      </c>
      <c r="H142" s="2">
        <f>IF(A142=$B$14,$B$15,0)</f>
        <v>0</v>
      </c>
      <c r="I142" s="2">
        <f t="shared" si="10"/>
        <v>551575.60999999917</v>
      </c>
    </row>
    <row r="143" spans="1:9" x14ac:dyDescent="0.3">
      <c r="A143">
        <f t="shared" si="11"/>
        <v>124</v>
      </c>
      <c r="B143">
        <f t="shared" si="12"/>
        <v>117</v>
      </c>
      <c r="C143" s="2">
        <f t="shared" si="13"/>
        <v>551575.60999999917</v>
      </c>
      <c r="D143" s="2">
        <f t="shared" si="7"/>
        <v>7398.37</v>
      </c>
      <c r="E143" s="3">
        <f>IF(A143&lt;$B$9,$B$3/100/12,$B$10/100/12)</f>
        <v>8.3333333333333332E-3</v>
      </c>
      <c r="F143">
        <f t="shared" si="8"/>
        <v>4596.46</v>
      </c>
      <c r="G143" s="2">
        <f t="shared" si="9"/>
        <v>2801.91</v>
      </c>
      <c r="H143" s="2">
        <f>IF(A143=$B$14,$B$15,0)</f>
        <v>0</v>
      </c>
      <c r="I143" s="2">
        <f t="shared" si="10"/>
        <v>548773.69999999914</v>
      </c>
    </row>
    <row r="144" spans="1:9" x14ac:dyDescent="0.3">
      <c r="A144">
        <f t="shared" si="11"/>
        <v>125</v>
      </c>
      <c r="B144">
        <f t="shared" si="12"/>
        <v>116</v>
      </c>
      <c r="C144" s="2">
        <f t="shared" si="13"/>
        <v>548773.69999999914</v>
      </c>
      <c r="D144" s="2">
        <f t="shared" si="7"/>
        <v>7398.37</v>
      </c>
      <c r="E144" s="3">
        <f>IF(A144&lt;$B$9,$B$3/100/12,$B$10/100/12)</f>
        <v>8.3333333333333332E-3</v>
      </c>
      <c r="F144">
        <f t="shared" si="8"/>
        <v>4573.1099999999997</v>
      </c>
      <c r="G144" s="2">
        <f t="shared" si="9"/>
        <v>2825.26</v>
      </c>
      <c r="H144" s="2">
        <f>IF(A144=$B$14,$B$15,0)</f>
        <v>0</v>
      </c>
      <c r="I144" s="2">
        <f t="shared" si="10"/>
        <v>545948.43999999913</v>
      </c>
    </row>
    <row r="145" spans="1:9" x14ac:dyDescent="0.3">
      <c r="A145">
        <f t="shared" si="11"/>
        <v>126</v>
      </c>
      <c r="B145">
        <f t="shared" si="12"/>
        <v>115</v>
      </c>
      <c r="C145" s="2">
        <f t="shared" si="13"/>
        <v>545948.43999999913</v>
      </c>
      <c r="D145" s="2">
        <f t="shared" si="7"/>
        <v>7398.37</v>
      </c>
      <c r="E145" s="3">
        <f>IF(A145&lt;$B$9,$B$3/100/12,$B$10/100/12)</f>
        <v>8.3333333333333332E-3</v>
      </c>
      <c r="F145">
        <f t="shared" si="8"/>
        <v>4549.57</v>
      </c>
      <c r="G145" s="2">
        <f t="shared" si="9"/>
        <v>2848.8</v>
      </c>
      <c r="H145" s="2">
        <f>IF(A145=$B$14,$B$15,0)</f>
        <v>0</v>
      </c>
      <c r="I145" s="2">
        <f t="shared" si="10"/>
        <v>543099.63999999908</v>
      </c>
    </row>
    <row r="146" spans="1:9" x14ac:dyDescent="0.3">
      <c r="A146">
        <f t="shared" si="11"/>
        <v>127</v>
      </c>
      <c r="B146">
        <f t="shared" si="12"/>
        <v>114</v>
      </c>
      <c r="C146" s="2">
        <f t="shared" si="13"/>
        <v>543099.63999999908</v>
      </c>
      <c r="D146" s="2">
        <f t="shared" si="7"/>
        <v>7398.37</v>
      </c>
      <c r="E146" s="3">
        <f>IF(A146&lt;$B$9,$B$3/100/12,$B$10/100/12)</f>
        <v>8.3333333333333332E-3</v>
      </c>
      <c r="F146">
        <f t="shared" si="8"/>
        <v>4525.83</v>
      </c>
      <c r="G146" s="2">
        <f t="shared" si="9"/>
        <v>2872.54</v>
      </c>
      <c r="H146" s="2">
        <f>IF(A146=$B$14,$B$15,0)</f>
        <v>0</v>
      </c>
      <c r="I146" s="2">
        <f t="shared" si="10"/>
        <v>540227.09999999905</v>
      </c>
    </row>
    <row r="147" spans="1:9" x14ac:dyDescent="0.3">
      <c r="A147">
        <f t="shared" si="11"/>
        <v>128</v>
      </c>
      <c r="B147">
        <f t="shared" si="12"/>
        <v>113</v>
      </c>
      <c r="C147" s="2">
        <f t="shared" si="13"/>
        <v>540227.09999999905</v>
      </c>
      <c r="D147" s="2">
        <f t="shared" si="7"/>
        <v>7398.37</v>
      </c>
      <c r="E147" s="3">
        <f>IF(A147&lt;$B$9,$B$3/100/12,$B$10/100/12)</f>
        <v>8.3333333333333332E-3</v>
      </c>
      <c r="F147">
        <f t="shared" si="8"/>
        <v>4501.8900000000003</v>
      </c>
      <c r="G147" s="2">
        <f t="shared" si="9"/>
        <v>2896.48</v>
      </c>
      <c r="H147" s="2">
        <f>IF(A147=$B$14,$B$15,0)</f>
        <v>0</v>
      </c>
      <c r="I147" s="2">
        <f t="shared" si="10"/>
        <v>537330.61999999906</v>
      </c>
    </row>
    <row r="148" spans="1:9" x14ac:dyDescent="0.3">
      <c r="A148">
        <f t="shared" si="11"/>
        <v>129</v>
      </c>
      <c r="B148">
        <f t="shared" si="12"/>
        <v>112</v>
      </c>
      <c r="C148" s="2">
        <f t="shared" si="13"/>
        <v>537330.61999999906</v>
      </c>
      <c r="D148" s="2">
        <f t="shared" si="7"/>
        <v>7398.37</v>
      </c>
      <c r="E148" s="3">
        <f>IF(A148&lt;$B$9,$B$3/100/12,$B$10/100/12)</f>
        <v>8.3333333333333332E-3</v>
      </c>
      <c r="F148">
        <f t="shared" si="8"/>
        <v>4477.76</v>
      </c>
      <c r="G148" s="2">
        <f t="shared" si="9"/>
        <v>2920.61</v>
      </c>
      <c r="H148" s="2">
        <f>IF(A148=$B$14,$B$15,0)</f>
        <v>0</v>
      </c>
      <c r="I148" s="2">
        <f t="shared" si="10"/>
        <v>534410.00999999908</v>
      </c>
    </row>
    <row r="149" spans="1:9" x14ac:dyDescent="0.3">
      <c r="A149">
        <f t="shared" si="11"/>
        <v>130</v>
      </c>
      <c r="B149">
        <f t="shared" si="12"/>
        <v>111</v>
      </c>
      <c r="C149" s="2">
        <f t="shared" si="13"/>
        <v>534410.00999999908</v>
      </c>
      <c r="D149" s="2">
        <f t="shared" ref="D149:D212" si="14">IF(A149&lt;$B$9,
     $B$7,
     IF(A149&lt;$B$14,
        $B$12,
        IF(A149=$B$14,
            $B$12,
            $B$17
        )
     )
)</f>
        <v>7398.37</v>
      </c>
      <c r="E149" s="3">
        <f>IF(A149&lt;$B$9,$B$3/100/12,$B$10/100/12)</f>
        <v>8.3333333333333332E-3</v>
      </c>
      <c r="F149">
        <f t="shared" ref="F149:F212" si="15">ROUND(C149*E149,2)</f>
        <v>4453.42</v>
      </c>
      <c r="G149" s="2">
        <f t="shared" ref="G149:G212" si="16">ROUND(IF(D149-F149&gt;C149,C149,D149-F149),2)</f>
        <v>2944.95</v>
      </c>
      <c r="H149" s="2">
        <f>IF(A149=$B$14,$B$15,0)</f>
        <v>0</v>
      </c>
      <c r="I149" s="2">
        <f t="shared" ref="I149:I212" si="17">C149-G149-H149</f>
        <v>531465.05999999912</v>
      </c>
    </row>
    <row r="150" spans="1:9" x14ac:dyDescent="0.3">
      <c r="A150">
        <f t="shared" ref="A150:A213" si="18">A149+1</f>
        <v>131</v>
      </c>
      <c r="B150">
        <f t="shared" ref="B150:B213" si="19">B149-1</f>
        <v>110</v>
      </c>
      <c r="C150" s="2">
        <f t="shared" ref="C150:C213" si="20">I149</f>
        <v>531465.05999999912</v>
      </c>
      <c r="D150" s="2">
        <f t="shared" si="14"/>
        <v>7398.37</v>
      </c>
      <c r="E150" s="3">
        <f>IF(A150&lt;$B$9,$B$3/100/12,$B$10/100/12)</f>
        <v>8.3333333333333332E-3</v>
      </c>
      <c r="F150">
        <f t="shared" si="15"/>
        <v>4428.88</v>
      </c>
      <c r="G150" s="2">
        <f t="shared" si="16"/>
        <v>2969.49</v>
      </c>
      <c r="H150" s="2">
        <f>IF(A150=$B$14,$B$15,0)</f>
        <v>0</v>
      </c>
      <c r="I150" s="2">
        <f t="shared" si="17"/>
        <v>528495.56999999913</v>
      </c>
    </row>
    <row r="151" spans="1:9" x14ac:dyDescent="0.3">
      <c r="A151">
        <f t="shared" si="18"/>
        <v>132</v>
      </c>
      <c r="B151">
        <f t="shared" si="19"/>
        <v>109</v>
      </c>
      <c r="C151" s="2">
        <f t="shared" si="20"/>
        <v>528495.56999999913</v>
      </c>
      <c r="D151" s="2">
        <f t="shared" si="14"/>
        <v>7398.37</v>
      </c>
      <c r="E151" s="3">
        <f>IF(A151&lt;$B$9,$B$3/100/12,$B$10/100/12)</f>
        <v>8.3333333333333332E-3</v>
      </c>
      <c r="F151">
        <f t="shared" si="15"/>
        <v>4404.13</v>
      </c>
      <c r="G151" s="2">
        <f t="shared" si="16"/>
        <v>2994.24</v>
      </c>
      <c r="H151" s="2">
        <f>IF(A151=$B$14,$B$15,0)</f>
        <v>0</v>
      </c>
      <c r="I151" s="2">
        <f t="shared" si="17"/>
        <v>525501.32999999914</v>
      </c>
    </row>
    <row r="152" spans="1:9" x14ac:dyDescent="0.3">
      <c r="A152">
        <f t="shared" si="18"/>
        <v>133</v>
      </c>
      <c r="B152">
        <f t="shared" si="19"/>
        <v>108</v>
      </c>
      <c r="C152" s="2">
        <f t="shared" si="20"/>
        <v>525501.32999999914</v>
      </c>
      <c r="D152" s="2">
        <f t="shared" si="14"/>
        <v>7398.37</v>
      </c>
      <c r="E152" s="3">
        <f>IF(A152&lt;$B$9,$B$3/100/12,$B$10/100/12)</f>
        <v>8.3333333333333332E-3</v>
      </c>
      <c r="F152">
        <f t="shared" si="15"/>
        <v>4379.18</v>
      </c>
      <c r="G152" s="2">
        <f t="shared" si="16"/>
        <v>3019.19</v>
      </c>
      <c r="H152" s="2">
        <f>IF(A152=$B$14,$B$15,0)</f>
        <v>0</v>
      </c>
      <c r="I152" s="2">
        <f t="shared" si="17"/>
        <v>522482.13999999914</v>
      </c>
    </row>
    <row r="153" spans="1:9" x14ac:dyDescent="0.3">
      <c r="A153">
        <f t="shared" si="18"/>
        <v>134</v>
      </c>
      <c r="B153">
        <f t="shared" si="19"/>
        <v>107</v>
      </c>
      <c r="C153" s="2">
        <f t="shared" si="20"/>
        <v>522482.13999999914</v>
      </c>
      <c r="D153" s="2">
        <f t="shared" si="14"/>
        <v>7398.37</v>
      </c>
      <c r="E153" s="3">
        <f>IF(A153&lt;$B$9,$B$3/100/12,$B$10/100/12)</f>
        <v>8.3333333333333332E-3</v>
      </c>
      <c r="F153">
        <f t="shared" si="15"/>
        <v>4354.0200000000004</v>
      </c>
      <c r="G153" s="2">
        <f t="shared" si="16"/>
        <v>3044.35</v>
      </c>
      <c r="H153" s="2">
        <f>IF(A153=$B$14,$B$15,0)</f>
        <v>0</v>
      </c>
      <c r="I153" s="2">
        <f t="shared" si="17"/>
        <v>519437.78999999916</v>
      </c>
    </row>
    <row r="154" spans="1:9" x14ac:dyDescent="0.3">
      <c r="A154">
        <f t="shared" si="18"/>
        <v>135</v>
      </c>
      <c r="B154">
        <f t="shared" si="19"/>
        <v>106</v>
      </c>
      <c r="C154" s="2">
        <f t="shared" si="20"/>
        <v>519437.78999999916</v>
      </c>
      <c r="D154" s="2">
        <f t="shared" si="14"/>
        <v>7398.37</v>
      </c>
      <c r="E154" s="3">
        <f>IF(A154&lt;$B$9,$B$3/100/12,$B$10/100/12)</f>
        <v>8.3333333333333332E-3</v>
      </c>
      <c r="F154">
        <f t="shared" si="15"/>
        <v>4328.6499999999996</v>
      </c>
      <c r="G154" s="2">
        <f t="shared" si="16"/>
        <v>3069.72</v>
      </c>
      <c r="H154" s="2">
        <f>IF(A154=$B$14,$B$15,0)</f>
        <v>0</v>
      </c>
      <c r="I154" s="2">
        <f t="shared" si="17"/>
        <v>516368.06999999919</v>
      </c>
    </row>
    <row r="155" spans="1:9" x14ac:dyDescent="0.3">
      <c r="A155">
        <f t="shared" si="18"/>
        <v>136</v>
      </c>
      <c r="B155">
        <f t="shared" si="19"/>
        <v>105</v>
      </c>
      <c r="C155" s="2">
        <f t="shared" si="20"/>
        <v>516368.06999999919</v>
      </c>
      <c r="D155" s="2">
        <f t="shared" si="14"/>
        <v>7398.37</v>
      </c>
      <c r="E155" s="3">
        <f>IF(A155&lt;$B$9,$B$3/100/12,$B$10/100/12)</f>
        <v>8.3333333333333332E-3</v>
      </c>
      <c r="F155">
        <f t="shared" si="15"/>
        <v>4303.07</v>
      </c>
      <c r="G155" s="2">
        <f t="shared" si="16"/>
        <v>3095.3</v>
      </c>
      <c r="H155" s="2">
        <f>IF(A155=$B$14,$B$15,0)</f>
        <v>0</v>
      </c>
      <c r="I155" s="2">
        <f t="shared" si="17"/>
        <v>513272.7699999992</v>
      </c>
    </row>
    <row r="156" spans="1:9" x14ac:dyDescent="0.3">
      <c r="A156">
        <f t="shared" si="18"/>
        <v>137</v>
      </c>
      <c r="B156">
        <f t="shared" si="19"/>
        <v>104</v>
      </c>
      <c r="C156" s="2">
        <f t="shared" si="20"/>
        <v>513272.7699999992</v>
      </c>
      <c r="D156" s="2">
        <f t="shared" si="14"/>
        <v>7398.37</v>
      </c>
      <c r="E156" s="3">
        <f>IF(A156&lt;$B$9,$B$3/100/12,$B$10/100/12)</f>
        <v>8.3333333333333332E-3</v>
      </c>
      <c r="F156">
        <f t="shared" si="15"/>
        <v>4277.2700000000004</v>
      </c>
      <c r="G156" s="2">
        <f t="shared" si="16"/>
        <v>3121.1</v>
      </c>
      <c r="H156" s="2">
        <f>IF(A156=$B$14,$B$15,0)</f>
        <v>0</v>
      </c>
      <c r="I156" s="2">
        <f t="shared" si="17"/>
        <v>510151.66999999923</v>
      </c>
    </row>
    <row r="157" spans="1:9" x14ac:dyDescent="0.3">
      <c r="A157">
        <f t="shared" si="18"/>
        <v>138</v>
      </c>
      <c r="B157">
        <f t="shared" si="19"/>
        <v>103</v>
      </c>
      <c r="C157" s="2">
        <f t="shared" si="20"/>
        <v>510151.66999999923</v>
      </c>
      <c r="D157" s="2">
        <f t="shared" si="14"/>
        <v>7398.37</v>
      </c>
      <c r="E157" s="3">
        <f>IF(A157&lt;$B$9,$B$3/100/12,$B$10/100/12)</f>
        <v>8.3333333333333332E-3</v>
      </c>
      <c r="F157">
        <f t="shared" si="15"/>
        <v>4251.26</v>
      </c>
      <c r="G157" s="2">
        <f t="shared" si="16"/>
        <v>3147.11</v>
      </c>
      <c r="H157" s="2">
        <f>IF(A157=$B$14,$B$15,0)</f>
        <v>0</v>
      </c>
      <c r="I157" s="2">
        <f t="shared" si="17"/>
        <v>507004.55999999924</v>
      </c>
    </row>
    <row r="158" spans="1:9" x14ac:dyDescent="0.3">
      <c r="A158">
        <f t="shared" si="18"/>
        <v>139</v>
      </c>
      <c r="B158">
        <f t="shared" si="19"/>
        <v>102</v>
      </c>
      <c r="C158" s="2">
        <f t="shared" si="20"/>
        <v>507004.55999999924</v>
      </c>
      <c r="D158" s="2">
        <f t="shared" si="14"/>
        <v>7398.37</v>
      </c>
      <c r="E158" s="3">
        <f>IF(A158&lt;$B$9,$B$3/100/12,$B$10/100/12)</f>
        <v>8.3333333333333332E-3</v>
      </c>
      <c r="F158">
        <f t="shared" si="15"/>
        <v>4225.04</v>
      </c>
      <c r="G158" s="2">
        <f t="shared" si="16"/>
        <v>3173.33</v>
      </c>
      <c r="H158" s="2">
        <f>IF(A158=$B$14,$B$15,0)</f>
        <v>0</v>
      </c>
      <c r="I158" s="2">
        <f t="shared" si="17"/>
        <v>503831.22999999922</v>
      </c>
    </row>
    <row r="159" spans="1:9" x14ac:dyDescent="0.3">
      <c r="A159">
        <f t="shared" si="18"/>
        <v>140</v>
      </c>
      <c r="B159">
        <f t="shared" si="19"/>
        <v>101</v>
      </c>
      <c r="C159" s="2">
        <f t="shared" si="20"/>
        <v>503831.22999999922</v>
      </c>
      <c r="D159" s="2">
        <f t="shared" si="14"/>
        <v>7398.37</v>
      </c>
      <c r="E159" s="3">
        <f>IF(A159&lt;$B$9,$B$3/100/12,$B$10/100/12)</f>
        <v>8.3333333333333332E-3</v>
      </c>
      <c r="F159">
        <f t="shared" si="15"/>
        <v>4198.59</v>
      </c>
      <c r="G159" s="2">
        <f t="shared" si="16"/>
        <v>3199.78</v>
      </c>
      <c r="H159" s="2">
        <f>IF(A159=$B$14,$B$15,0)</f>
        <v>0</v>
      </c>
      <c r="I159" s="2">
        <f t="shared" si="17"/>
        <v>500631.4499999992</v>
      </c>
    </row>
    <row r="160" spans="1:9" x14ac:dyDescent="0.3">
      <c r="A160">
        <f t="shared" si="18"/>
        <v>141</v>
      </c>
      <c r="B160">
        <f t="shared" si="19"/>
        <v>100</v>
      </c>
      <c r="C160" s="2">
        <f t="shared" si="20"/>
        <v>500631.4499999992</v>
      </c>
      <c r="D160" s="2">
        <f t="shared" si="14"/>
        <v>7398.37</v>
      </c>
      <c r="E160" s="3">
        <f>IF(A160&lt;$B$9,$B$3/100/12,$B$10/100/12)</f>
        <v>8.3333333333333332E-3</v>
      </c>
      <c r="F160">
        <f t="shared" si="15"/>
        <v>4171.93</v>
      </c>
      <c r="G160" s="2">
        <f t="shared" si="16"/>
        <v>3226.44</v>
      </c>
      <c r="H160" s="2">
        <f>IF(A160=$B$14,$B$15,0)</f>
        <v>0</v>
      </c>
      <c r="I160" s="2">
        <f t="shared" si="17"/>
        <v>497405.00999999919</v>
      </c>
    </row>
    <row r="161" spans="1:9" x14ac:dyDescent="0.3">
      <c r="A161">
        <f t="shared" si="18"/>
        <v>142</v>
      </c>
      <c r="B161">
        <f t="shared" si="19"/>
        <v>99</v>
      </c>
      <c r="C161" s="2">
        <f t="shared" si="20"/>
        <v>497405.00999999919</v>
      </c>
      <c r="D161" s="2">
        <f t="shared" si="14"/>
        <v>7398.37</v>
      </c>
      <c r="E161" s="3">
        <f>IF(A161&lt;$B$9,$B$3/100/12,$B$10/100/12)</f>
        <v>8.3333333333333332E-3</v>
      </c>
      <c r="F161">
        <f t="shared" si="15"/>
        <v>4145.04</v>
      </c>
      <c r="G161" s="2">
        <f t="shared" si="16"/>
        <v>3253.33</v>
      </c>
      <c r="H161" s="2">
        <f>IF(A161=$B$14,$B$15,0)</f>
        <v>0</v>
      </c>
      <c r="I161" s="2">
        <f t="shared" si="17"/>
        <v>494151.67999999918</v>
      </c>
    </row>
    <row r="162" spans="1:9" x14ac:dyDescent="0.3">
      <c r="A162">
        <f t="shared" si="18"/>
        <v>143</v>
      </c>
      <c r="B162">
        <f t="shared" si="19"/>
        <v>98</v>
      </c>
      <c r="C162" s="2">
        <f t="shared" si="20"/>
        <v>494151.67999999918</v>
      </c>
      <c r="D162" s="2">
        <f t="shared" si="14"/>
        <v>7398.37</v>
      </c>
      <c r="E162" s="3">
        <f>IF(A162&lt;$B$9,$B$3/100/12,$B$10/100/12)</f>
        <v>8.3333333333333332E-3</v>
      </c>
      <c r="F162">
        <f t="shared" si="15"/>
        <v>4117.93</v>
      </c>
      <c r="G162" s="2">
        <f t="shared" si="16"/>
        <v>3280.44</v>
      </c>
      <c r="H162" s="2">
        <f>IF(A162=$B$14,$B$15,0)</f>
        <v>0</v>
      </c>
      <c r="I162" s="2">
        <f t="shared" si="17"/>
        <v>490871.23999999918</v>
      </c>
    </row>
    <row r="163" spans="1:9" x14ac:dyDescent="0.3">
      <c r="A163">
        <f t="shared" si="18"/>
        <v>144</v>
      </c>
      <c r="B163">
        <f t="shared" si="19"/>
        <v>97</v>
      </c>
      <c r="C163" s="2">
        <f t="shared" si="20"/>
        <v>490871.23999999918</v>
      </c>
      <c r="D163" s="2">
        <f t="shared" si="14"/>
        <v>7398.37</v>
      </c>
      <c r="E163" s="3">
        <f>IF(A163&lt;$B$9,$B$3/100/12,$B$10/100/12)</f>
        <v>8.3333333333333332E-3</v>
      </c>
      <c r="F163">
        <f t="shared" si="15"/>
        <v>4090.59</v>
      </c>
      <c r="G163" s="2">
        <f t="shared" si="16"/>
        <v>3307.78</v>
      </c>
      <c r="H163" s="2">
        <f>IF(A163=$B$14,$B$15,0)</f>
        <v>0</v>
      </c>
      <c r="I163" s="2">
        <f t="shared" si="17"/>
        <v>487563.45999999915</v>
      </c>
    </row>
    <row r="164" spans="1:9" x14ac:dyDescent="0.3">
      <c r="A164">
        <f t="shared" si="18"/>
        <v>145</v>
      </c>
      <c r="B164">
        <f t="shared" si="19"/>
        <v>96</v>
      </c>
      <c r="C164" s="2">
        <f t="shared" si="20"/>
        <v>487563.45999999915</v>
      </c>
      <c r="D164" s="2">
        <f t="shared" si="14"/>
        <v>7398.37</v>
      </c>
      <c r="E164" s="3">
        <f>IF(A164&lt;$B$9,$B$3/100/12,$B$10/100/12)</f>
        <v>8.3333333333333332E-3</v>
      </c>
      <c r="F164">
        <f t="shared" si="15"/>
        <v>4063.03</v>
      </c>
      <c r="G164" s="2">
        <f t="shared" si="16"/>
        <v>3335.34</v>
      </c>
      <c r="H164" s="2">
        <f>IF(A164=$B$14,$B$15,0)</f>
        <v>0</v>
      </c>
      <c r="I164" s="2">
        <f t="shared" si="17"/>
        <v>484228.11999999912</v>
      </c>
    </row>
    <row r="165" spans="1:9" x14ac:dyDescent="0.3">
      <c r="A165">
        <f t="shared" si="18"/>
        <v>146</v>
      </c>
      <c r="B165">
        <f t="shared" si="19"/>
        <v>95</v>
      </c>
      <c r="C165" s="2">
        <f t="shared" si="20"/>
        <v>484228.11999999912</v>
      </c>
      <c r="D165" s="2">
        <f t="shared" si="14"/>
        <v>7398.37</v>
      </c>
      <c r="E165" s="3">
        <f>IF(A165&lt;$B$9,$B$3/100/12,$B$10/100/12)</f>
        <v>8.3333333333333332E-3</v>
      </c>
      <c r="F165">
        <f t="shared" si="15"/>
        <v>4035.23</v>
      </c>
      <c r="G165" s="2">
        <f t="shared" si="16"/>
        <v>3363.14</v>
      </c>
      <c r="H165" s="2">
        <f>IF(A165=$B$14,$B$15,0)</f>
        <v>0</v>
      </c>
      <c r="I165" s="2">
        <f t="shared" si="17"/>
        <v>480864.97999999911</v>
      </c>
    </row>
    <row r="166" spans="1:9" x14ac:dyDescent="0.3">
      <c r="A166">
        <f t="shared" si="18"/>
        <v>147</v>
      </c>
      <c r="B166">
        <f t="shared" si="19"/>
        <v>94</v>
      </c>
      <c r="C166" s="2">
        <f t="shared" si="20"/>
        <v>480864.97999999911</v>
      </c>
      <c r="D166" s="2">
        <f t="shared" si="14"/>
        <v>7398.37</v>
      </c>
      <c r="E166" s="3">
        <f>IF(A166&lt;$B$9,$B$3/100/12,$B$10/100/12)</f>
        <v>8.3333333333333332E-3</v>
      </c>
      <c r="F166">
        <f t="shared" si="15"/>
        <v>4007.21</v>
      </c>
      <c r="G166" s="2">
        <f t="shared" si="16"/>
        <v>3391.16</v>
      </c>
      <c r="H166" s="2">
        <f>IF(A166=$B$14,$B$15,0)</f>
        <v>0</v>
      </c>
      <c r="I166" s="2">
        <f t="shared" si="17"/>
        <v>477473.81999999913</v>
      </c>
    </row>
    <row r="167" spans="1:9" x14ac:dyDescent="0.3">
      <c r="A167">
        <f t="shared" si="18"/>
        <v>148</v>
      </c>
      <c r="B167">
        <f t="shared" si="19"/>
        <v>93</v>
      </c>
      <c r="C167" s="2">
        <f t="shared" si="20"/>
        <v>477473.81999999913</v>
      </c>
      <c r="D167" s="2">
        <f t="shared" si="14"/>
        <v>7398.37</v>
      </c>
      <c r="E167" s="3">
        <f>IF(A167&lt;$B$9,$B$3/100/12,$B$10/100/12)</f>
        <v>8.3333333333333332E-3</v>
      </c>
      <c r="F167">
        <f t="shared" si="15"/>
        <v>3978.95</v>
      </c>
      <c r="G167" s="2">
        <f t="shared" si="16"/>
        <v>3419.42</v>
      </c>
      <c r="H167" s="2">
        <f>IF(A167=$B$14,$B$15,0)</f>
        <v>0</v>
      </c>
      <c r="I167" s="2">
        <f t="shared" si="17"/>
        <v>474054.39999999915</v>
      </c>
    </row>
    <row r="168" spans="1:9" x14ac:dyDescent="0.3">
      <c r="A168">
        <f t="shared" si="18"/>
        <v>149</v>
      </c>
      <c r="B168">
        <f t="shared" si="19"/>
        <v>92</v>
      </c>
      <c r="C168" s="2">
        <f t="shared" si="20"/>
        <v>474054.39999999915</v>
      </c>
      <c r="D168" s="2">
        <f t="shared" si="14"/>
        <v>7398.37</v>
      </c>
      <c r="E168" s="3">
        <f>IF(A168&lt;$B$9,$B$3/100/12,$B$10/100/12)</f>
        <v>8.3333333333333332E-3</v>
      </c>
      <c r="F168">
        <f t="shared" si="15"/>
        <v>3950.45</v>
      </c>
      <c r="G168" s="2">
        <f t="shared" si="16"/>
        <v>3447.92</v>
      </c>
      <c r="H168" s="2">
        <f>IF(A168=$B$14,$B$15,0)</f>
        <v>0</v>
      </c>
      <c r="I168" s="2">
        <f t="shared" si="17"/>
        <v>470606.47999999917</v>
      </c>
    </row>
    <row r="169" spans="1:9" x14ac:dyDescent="0.3">
      <c r="A169">
        <f t="shared" si="18"/>
        <v>150</v>
      </c>
      <c r="B169">
        <f t="shared" si="19"/>
        <v>91</v>
      </c>
      <c r="C169" s="2">
        <f t="shared" si="20"/>
        <v>470606.47999999917</v>
      </c>
      <c r="D169" s="2">
        <f t="shared" si="14"/>
        <v>7398.37</v>
      </c>
      <c r="E169" s="3">
        <f>IF(A169&lt;$B$9,$B$3/100/12,$B$10/100/12)</f>
        <v>8.3333333333333332E-3</v>
      </c>
      <c r="F169">
        <f t="shared" si="15"/>
        <v>3921.72</v>
      </c>
      <c r="G169" s="2">
        <f t="shared" si="16"/>
        <v>3476.65</v>
      </c>
      <c r="H169" s="2">
        <f>IF(A169=$B$14,$B$15,0)</f>
        <v>0</v>
      </c>
      <c r="I169" s="2">
        <f t="shared" si="17"/>
        <v>467129.82999999914</v>
      </c>
    </row>
    <row r="170" spans="1:9" x14ac:dyDescent="0.3">
      <c r="A170">
        <f t="shared" si="18"/>
        <v>151</v>
      </c>
      <c r="B170">
        <f t="shared" si="19"/>
        <v>90</v>
      </c>
      <c r="C170" s="2">
        <f t="shared" si="20"/>
        <v>467129.82999999914</v>
      </c>
      <c r="D170" s="2">
        <f t="shared" si="14"/>
        <v>7398.37</v>
      </c>
      <c r="E170" s="3">
        <f>IF(A170&lt;$B$9,$B$3/100/12,$B$10/100/12)</f>
        <v>8.3333333333333332E-3</v>
      </c>
      <c r="F170">
        <f t="shared" si="15"/>
        <v>3892.75</v>
      </c>
      <c r="G170" s="2">
        <f t="shared" si="16"/>
        <v>3505.62</v>
      </c>
      <c r="H170" s="2">
        <f>IF(A170=$B$14,$B$15,0)</f>
        <v>0</v>
      </c>
      <c r="I170" s="2">
        <f t="shared" si="17"/>
        <v>463624.20999999915</v>
      </c>
    </row>
    <row r="171" spans="1:9" x14ac:dyDescent="0.3">
      <c r="A171">
        <f t="shared" si="18"/>
        <v>152</v>
      </c>
      <c r="B171">
        <f t="shared" si="19"/>
        <v>89</v>
      </c>
      <c r="C171" s="2">
        <f t="shared" si="20"/>
        <v>463624.20999999915</v>
      </c>
      <c r="D171" s="2">
        <f t="shared" si="14"/>
        <v>7398.37</v>
      </c>
      <c r="E171" s="3">
        <f>IF(A171&lt;$B$9,$B$3/100/12,$B$10/100/12)</f>
        <v>8.3333333333333332E-3</v>
      </c>
      <c r="F171">
        <f t="shared" si="15"/>
        <v>3863.54</v>
      </c>
      <c r="G171" s="2">
        <f t="shared" si="16"/>
        <v>3534.83</v>
      </c>
      <c r="H171" s="2">
        <f>IF(A171=$B$14,$B$15,0)</f>
        <v>0</v>
      </c>
      <c r="I171" s="2">
        <f t="shared" si="17"/>
        <v>460089.37999999913</v>
      </c>
    </row>
    <row r="172" spans="1:9" x14ac:dyDescent="0.3">
      <c r="A172">
        <f t="shared" si="18"/>
        <v>153</v>
      </c>
      <c r="B172">
        <f t="shared" si="19"/>
        <v>88</v>
      </c>
      <c r="C172" s="2">
        <f t="shared" si="20"/>
        <v>460089.37999999913</v>
      </c>
      <c r="D172" s="2">
        <f t="shared" si="14"/>
        <v>7398.37</v>
      </c>
      <c r="E172" s="3">
        <f>IF(A172&lt;$B$9,$B$3/100/12,$B$10/100/12)</f>
        <v>8.3333333333333332E-3</v>
      </c>
      <c r="F172">
        <f t="shared" si="15"/>
        <v>3834.08</v>
      </c>
      <c r="G172" s="2">
        <f t="shared" si="16"/>
        <v>3564.29</v>
      </c>
      <c r="H172" s="2">
        <f>IF(A172=$B$14,$B$15,0)</f>
        <v>0</v>
      </c>
      <c r="I172" s="2">
        <f t="shared" si="17"/>
        <v>456525.08999999915</v>
      </c>
    </row>
    <row r="173" spans="1:9" x14ac:dyDescent="0.3">
      <c r="A173">
        <f t="shared" si="18"/>
        <v>154</v>
      </c>
      <c r="B173">
        <f t="shared" si="19"/>
        <v>87</v>
      </c>
      <c r="C173" s="2">
        <f t="shared" si="20"/>
        <v>456525.08999999915</v>
      </c>
      <c r="D173" s="2">
        <f t="shared" si="14"/>
        <v>7398.37</v>
      </c>
      <c r="E173" s="3">
        <f>IF(A173&lt;$B$9,$B$3/100/12,$B$10/100/12)</f>
        <v>8.3333333333333332E-3</v>
      </c>
      <c r="F173">
        <f t="shared" si="15"/>
        <v>3804.38</v>
      </c>
      <c r="G173" s="2">
        <f t="shared" si="16"/>
        <v>3593.99</v>
      </c>
      <c r="H173" s="2">
        <f>IF(A173=$B$14,$B$15,0)</f>
        <v>0</v>
      </c>
      <c r="I173" s="2">
        <f t="shared" si="17"/>
        <v>452931.09999999916</v>
      </c>
    </row>
    <row r="174" spans="1:9" x14ac:dyDescent="0.3">
      <c r="A174">
        <f t="shared" si="18"/>
        <v>155</v>
      </c>
      <c r="B174">
        <f t="shared" si="19"/>
        <v>86</v>
      </c>
      <c r="C174" s="2">
        <f t="shared" si="20"/>
        <v>452931.09999999916</v>
      </c>
      <c r="D174" s="2">
        <f t="shared" si="14"/>
        <v>7398.37</v>
      </c>
      <c r="E174" s="3">
        <f>IF(A174&lt;$B$9,$B$3/100/12,$B$10/100/12)</f>
        <v>8.3333333333333332E-3</v>
      </c>
      <c r="F174">
        <f t="shared" si="15"/>
        <v>3774.43</v>
      </c>
      <c r="G174" s="2">
        <f t="shared" si="16"/>
        <v>3623.94</v>
      </c>
      <c r="H174" s="2">
        <f>IF(A174=$B$14,$B$15,0)</f>
        <v>0</v>
      </c>
      <c r="I174" s="2">
        <f t="shared" si="17"/>
        <v>449307.15999999916</v>
      </c>
    </row>
    <row r="175" spans="1:9" x14ac:dyDescent="0.3">
      <c r="A175">
        <f t="shared" si="18"/>
        <v>156</v>
      </c>
      <c r="B175">
        <f t="shared" si="19"/>
        <v>85</v>
      </c>
      <c r="C175" s="2">
        <f t="shared" si="20"/>
        <v>449307.15999999916</v>
      </c>
      <c r="D175" s="2">
        <f t="shared" si="14"/>
        <v>7398.37</v>
      </c>
      <c r="E175" s="3">
        <f>IF(A175&lt;$B$9,$B$3/100/12,$B$10/100/12)</f>
        <v>8.3333333333333332E-3</v>
      </c>
      <c r="F175">
        <f t="shared" si="15"/>
        <v>3744.23</v>
      </c>
      <c r="G175" s="2">
        <f t="shared" si="16"/>
        <v>3654.14</v>
      </c>
      <c r="H175" s="2">
        <f>IF(A175=$B$14,$B$15,0)</f>
        <v>0</v>
      </c>
      <c r="I175" s="2">
        <f t="shared" si="17"/>
        <v>445653.01999999915</v>
      </c>
    </row>
    <row r="176" spans="1:9" x14ac:dyDescent="0.3">
      <c r="A176">
        <f t="shared" si="18"/>
        <v>157</v>
      </c>
      <c r="B176">
        <f t="shared" si="19"/>
        <v>84</v>
      </c>
      <c r="C176" s="2">
        <f t="shared" si="20"/>
        <v>445653.01999999915</v>
      </c>
      <c r="D176" s="2">
        <f t="shared" si="14"/>
        <v>7398.37</v>
      </c>
      <c r="E176" s="3">
        <f>IF(A176&lt;$B$9,$B$3/100/12,$B$10/100/12)</f>
        <v>8.3333333333333332E-3</v>
      </c>
      <c r="F176">
        <f t="shared" si="15"/>
        <v>3713.78</v>
      </c>
      <c r="G176" s="2">
        <f t="shared" si="16"/>
        <v>3684.59</v>
      </c>
      <c r="H176" s="2">
        <f>IF(A176=$B$14,$B$15,0)</f>
        <v>0</v>
      </c>
      <c r="I176" s="2">
        <f t="shared" si="17"/>
        <v>441968.42999999912</v>
      </c>
    </row>
    <row r="177" spans="1:9" x14ac:dyDescent="0.3">
      <c r="A177">
        <f t="shared" si="18"/>
        <v>158</v>
      </c>
      <c r="B177">
        <f t="shared" si="19"/>
        <v>83</v>
      </c>
      <c r="C177" s="2">
        <f t="shared" si="20"/>
        <v>441968.42999999912</v>
      </c>
      <c r="D177" s="2">
        <f t="shared" si="14"/>
        <v>7398.37</v>
      </c>
      <c r="E177" s="3">
        <f>IF(A177&lt;$B$9,$B$3/100/12,$B$10/100/12)</f>
        <v>8.3333333333333332E-3</v>
      </c>
      <c r="F177">
        <f t="shared" si="15"/>
        <v>3683.07</v>
      </c>
      <c r="G177" s="2">
        <f t="shared" si="16"/>
        <v>3715.3</v>
      </c>
      <c r="H177" s="2">
        <f>IF(A177=$B$14,$B$15,0)</f>
        <v>0</v>
      </c>
      <c r="I177" s="2">
        <f t="shared" si="17"/>
        <v>438253.12999999913</v>
      </c>
    </row>
    <row r="178" spans="1:9" x14ac:dyDescent="0.3">
      <c r="A178">
        <f t="shared" si="18"/>
        <v>159</v>
      </c>
      <c r="B178">
        <f t="shared" si="19"/>
        <v>82</v>
      </c>
      <c r="C178" s="2">
        <f t="shared" si="20"/>
        <v>438253.12999999913</v>
      </c>
      <c r="D178" s="2">
        <f t="shared" si="14"/>
        <v>7398.37</v>
      </c>
      <c r="E178" s="3">
        <f>IF(A178&lt;$B$9,$B$3/100/12,$B$10/100/12)</f>
        <v>8.3333333333333332E-3</v>
      </c>
      <c r="F178">
        <f t="shared" si="15"/>
        <v>3652.11</v>
      </c>
      <c r="G178" s="2">
        <f t="shared" si="16"/>
        <v>3746.26</v>
      </c>
      <c r="H178" s="2">
        <f>IF(A178=$B$14,$B$15,0)</f>
        <v>0</v>
      </c>
      <c r="I178" s="2">
        <f t="shared" si="17"/>
        <v>434506.86999999912</v>
      </c>
    </row>
    <row r="179" spans="1:9" x14ac:dyDescent="0.3">
      <c r="A179">
        <f t="shared" si="18"/>
        <v>160</v>
      </c>
      <c r="B179">
        <f t="shared" si="19"/>
        <v>81</v>
      </c>
      <c r="C179" s="2">
        <f t="shared" si="20"/>
        <v>434506.86999999912</v>
      </c>
      <c r="D179" s="2">
        <f t="shared" si="14"/>
        <v>7398.37</v>
      </c>
      <c r="E179" s="3">
        <f>IF(A179&lt;$B$9,$B$3/100/12,$B$10/100/12)</f>
        <v>8.3333333333333332E-3</v>
      </c>
      <c r="F179">
        <f t="shared" si="15"/>
        <v>3620.89</v>
      </c>
      <c r="G179" s="2">
        <f t="shared" si="16"/>
        <v>3777.48</v>
      </c>
      <c r="H179" s="2">
        <f>IF(A179=$B$14,$B$15,0)</f>
        <v>0</v>
      </c>
      <c r="I179" s="2">
        <f t="shared" si="17"/>
        <v>430729.38999999914</v>
      </c>
    </row>
    <row r="180" spans="1:9" x14ac:dyDescent="0.3">
      <c r="A180">
        <f t="shared" si="18"/>
        <v>161</v>
      </c>
      <c r="B180">
        <f t="shared" si="19"/>
        <v>80</v>
      </c>
      <c r="C180" s="2">
        <f t="shared" si="20"/>
        <v>430729.38999999914</v>
      </c>
      <c r="D180" s="2">
        <f t="shared" si="14"/>
        <v>7398.37</v>
      </c>
      <c r="E180" s="3">
        <f>IF(A180&lt;$B$9,$B$3/100/12,$B$10/100/12)</f>
        <v>8.3333333333333332E-3</v>
      </c>
      <c r="F180">
        <f t="shared" si="15"/>
        <v>3589.41</v>
      </c>
      <c r="G180" s="2">
        <f t="shared" si="16"/>
        <v>3808.96</v>
      </c>
      <c r="H180" s="2">
        <f>IF(A180=$B$14,$B$15,0)</f>
        <v>0</v>
      </c>
      <c r="I180" s="2">
        <f t="shared" si="17"/>
        <v>426920.42999999912</v>
      </c>
    </row>
    <row r="181" spans="1:9" x14ac:dyDescent="0.3">
      <c r="A181">
        <f t="shared" si="18"/>
        <v>162</v>
      </c>
      <c r="B181">
        <f t="shared" si="19"/>
        <v>79</v>
      </c>
      <c r="C181" s="2">
        <f t="shared" si="20"/>
        <v>426920.42999999912</v>
      </c>
      <c r="D181" s="2">
        <f t="shared" si="14"/>
        <v>7398.37</v>
      </c>
      <c r="E181" s="3">
        <f>IF(A181&lt;$B$9,$B$3/100/12,$B$10/100/12)</f>
        <v>8.3333333333333332E-3</v>
      </c>
      <c r="F181">
        <f t="shared" si="15"/>
        <v>3557.67</v>
      </c>
      <c r="G181" s="2">
        <f t="shared" si="16"/>
        <v>3840.7</v>
      </c>
      <c r="H181" s="2">
        <f>IF(A181=$B$14,$B$15,0)</f>
        <v>0</v>
      </c>
      <c r="I181" s="2">
        <f t="shared" si="17"/>
        <v>423079.72999999911</v>
      </c>
    </row>
    <row r="182" spans="1:9" x14ac:dyDescent="0.3">
      <c r="A182">
        <f t="shared" si="18"/>
        <v>163</v>
      </c>
      <c r="B182">
        <f t="shared" si="19"/>
        <v>78</v>
      </c>
      <c r="C182" s="2">
        <f t="shared" si="20"/>
        <v>423079.72999999911</v>
      </c>
      <c r="D182" s="2">
        <f t="shared" si="14"/>
        <v>7398.37</v>
      </c>
      <c r="E182" s="3">
        <f>IF(A182&lt;$B$9,$B$3/100/12,$B$10/100/12)</f>
        <v>8.3333333333333332E-3</v>
      </c>
      <c r="F182">
        <f t="shared" si="15"/>
        <v>3525.66</v>
      </c>
      <c r="G182" s="2">
        <f t="shared" si="16"/>
        <v>3872.71</v>
      </c>
      <c r="H182" s="2">
        <f>IF(A182=$B$14,$B$15,0)</f>
        <v>0</v>
      </c>
      <c r="I182" s="2">
        <f t="shared" si="17"/>
        <v>419207.01999999909</v>
      </c>
    </row>
    <row r="183" spans="1:9" x14ac:dyDescent="0.3">
      <c r="A183">
        <f t="shared" si="18"/>
        <v>164</v>
      </c>
      <c r="B183">
        <f t="shared" si="19"/>
        <v>77</v>
      </c>
      <c r="C183" s="2">
        <f t="shared" si="20"/>
        <v>419207.01999999909</v>
      </c>
      <c r="D183" s="2">
        <f t="shared" si="14"/>
        <v>7398.37</v>
      </c>
      <c r="E183" s="3">
        <f>IF(A183&lt;$B$9,$B$3/100/12,$B$10/100/12)</f>
        <v>8.3333333333333332E-3</v>
      </c>
      <c r="F183">
        <f t="shared" si="15"/>
        <v>3493.39</v>
      </c>
      <c r="G183" s="2">
        <f t="shared" si="16"/>
        <v>3904.98</v>
      </c>
      <c r="H183" s="2">
        <f>IF(A183=$B$14,$B$15,0)</f>
        <v>0</v>
      </c>
      <c r="I183" s="2">
        <f t="shared" si="17"/>
        <v>415302.03999999911</v>
      </c>
    </row>
    <row r="184" spans="1:9" x14ac:dyDescent="0.3">
      <c r="A184">
        <f t="shared" si="18"/>
        <v>165</v>
      </c>
      <c r="B184">
        <f t="shared" si="19"/>
        <v>76</v>
      </c>
      <c r="C184" s="2">
        <f t="shared" si="20"/>
        <v>415302.03999999911</v>
      </c>
      <c r="D184" s="2">
        <f t="shared" si="14"/>
        <v>7398.37</v>
      </c>
      <c r="E184" s="3">
        <f>IF(A184&lt;$B$9,$B$3/100/12,$B$10/100/12)</f>
        <v>8.3333333333333332E-3</v>
      </c>
      <c r="F184">
        <f t="shared" si="15"/>
        <v>3460.85</v>
      </c>
      <c r="G184" s="2">
        <f t="shared" si="16"/>
        <v>3937.52</v>
      </c>
      <c r="H184" s="2">
        <f>IF(A184=$B$14,$B$15,0)</f>
        <v>0</v>
      </c>
      <c r="I184" s="2">
        <f t="shared" si="17"/>
        <v>411364.51999999909</v>
      </c>
    </row>
    <row r="185" spans="1:9" x14ac:dyDescent="0.3">
      <c r="A185">
        <f t="shared" si="18"/>
        <v>166</v>
      </c>
      <c r="B185">
        <f t="shared" si="19"/>
        <v>75</v>
      </c>
      <c r="C185" s="2">
        <f t="shared" si="20"/>
        <v>411364.51999999909</v>
      </c>
      <c r="D185" s="2">
        <f t="shared" si="14"/>
        <v>7398.37</v>
      </c>
      <c r="E185" s="3">
        <f>IF(A185&lt;$B$9,$B$3/100/12,$B$10/100/12)</f>
        <v>8.3333333333333332E-3</v>
      </c>
      <c r="F185">
        <f t="shared" si="15"/>
        <v>3428.04</v>
      </c>
      <c r="G185" s="2">
        <f t="shared" si="16"/>
        <v>3970.33</v>
      </c>
      <c r="H185" s="2">
        <f>IF(A185=$B$14,$B$15,0)</f>
        <v>0</v>
      </c>
      <c r="I185" s="2">
        <f t="shared" si="17"/>
        <v>407394.18999999907</v>
      </c>
    </row>
    <row r="186" spans="1:9" x14ac:dyDescent="0.3">
      <c r="A186">
        <f t="shared" si="18"/>
        <v>167</v>
      </c>
      <c r="B186">
        <f t="shared" si="19"/>
        <v>74</v>
      </c>
      <c r="C186" s="2">
        <f t="shared" si="20"/>
        <v>407394.18999999907</v>
      </c>
      <c r="D186" s="2">
        <f t="shared" si="14"/>
        <v>7398.37</v>
      </c>
      <c r="E186" s="3">
        <f>IF(A186&lt;$B$9,$B$3/100/12,$B$10/100/12)</f>
        <v>8.3333333333333332E-3</v>
      </c>
      <c r="F186">
        <f t="shared" si="15"/>
        <v>3394.95</v>
      </c>
      <c r="G186" s="2">
        <f t="shared" si="16"/>
        <v>4003.42</v>
      </c>
      <c r="H186" s="2">
        <f>IF(A186=$B$14,$B$15,0)</f>
        <v>0</v>
      </c>
      <c r="I186" s="2">
        <f t="shared" si="17"/>
        <v>403390.76999999909</v>
      </c>
    </row>
    <row r="187" spans="1:9" x14ac:dyDescent="0.3">
      <c r="A187">
        <f t="shared" si="18"/>
        <v>168</v>
      </c>
      <c r="B187">
        <f t="shared" si="19"/>
        <v>73</v>
      </c>
      <c r="C187" s="2">
        <f t="shared" si="20"/>
        <v>403390.76999999909</v>
      </c>
      <c r="D187" s="2">
        <f t="shared" si="14"/>
        <v>7398.37</v>
      </c>
      <c r="E187" s="3">
        <f>IF(A187&lt;$B$9,$B$3/100/12,$B$10/100/12)</f>
        <v>8.3333333333333332E-3</v>
      </c>
      <c r="F187">
        <f t="shared" si="15"/>
        <v>3361.59</v>
      </c>
      <c r="G187" s="2">
        <f t="shared" si="16"/>
        <v>4036.78</v>
      </c>
      <c r="H187" s="2">
        <f>IF(A187=$B$14,$B$15,0)</f>
        <v>0</v>
      </c>
      <c r="I187" s="2">
        <f t="shared" si="17"/>
        <v>399353.98999999906</v>
      </c>
    </row>
    <row r="188" spans="1:9" x14ac:dyDescent="0.3">
      <c r="A188">
        <f t="shared" si="18"/>
        <v>169</v>
      </c>
      <c r="B188">
        <f t="shared" si="19"/>
        <v>72</v>
      </c>
      <c r="C188" s="2">
        <f t="shared" si="20"/>
        <v>399353.98999999906</v>
      </c>
      <c r="D188" s="2">
        <f t="shared" si="14"/>
        <v>7398.37</v>
      </c>
      <c r="E188" s="3">
        <f>IF(A188&lt;$B$9,$B$3/100/12,$B$10/100/12)</f>
        <v>8.3333333333333332E-3</v>
      </c>
      <c r="F188">
        <f t="shared" si="15"/>
        <v>3327.95</v>
      </c>
      <c r="G188" s="2">
        <f t="shared" si="16"/>
        <v>4070.42</v>
      </c>
      <c r="H188" s="2">
        <f>IF(A188=$B$14,$B$15,0)</f>
        <v>0</v>
      </c>
      <c r="I188" s="2">
        <f t="shared" si="17"/>
        <v>395283.56999999908</v>
      </c>
    </row>
    <row r="189" spans="1:9" x14ac:dyDescent="0.3">
      <c r="A189">
        <f t="shared" si="18"/>
        <v>170</v>
      </c>
      <c r="B189">
        <f t="shared" si="19"/>
        <v>71</v>
      </c>
      <c r="C189" s="2">
        <f t="shared" si="20"/>
        <v>395283.56999999908</v>
      </c>
      <c r="D189" s="2">
        <f t="shared" si="14"/>
        <v>7398.37</v>
      </c>
      <c r="E189" s="3">
        <f>IF(A189&lt;$B$9,$B$3/100/12,$B$10/100/12)</f>
        <v>8.3333333333333332E-3</v>
      </c>
      <c r="F189">
        <f t="shared" si="15"/>
        <v>3294.03</v>
      </c>
      <c r="G189" s="2">
        <f t="shared" si="16"/>
        <v>4104.34</v>
      </c>
      <c r="H189" s="2">
        <f>IF(A189=$B$14,$B$15,0)</f>
        <v>0</v>
      </c>
      <c r="I189" s="2">
        <f t="shared" si="17"/>
        <v>391179.22999999905</v>
      </c>
    </row>
    <row r="190" spans="1:9" x14ac:dyDescent="0.3">
      <c r="A190">
        <f t="shared" si="18"/>
        <v>171</v>
      </c>
      <c r="B190">
        <f t="shared" si="19"/>
        <v>70</v>
      </c>
      <c r="C190" s="2">
        <f t="shared" si="20"/>
        <v>391179.22999999905</v>
      </c>
      <c r="D190" s="2">
        <f t="shared" si="14"/>
        <v>7398.37</v>
      </c>
      <c r="E190" s="3">
        <f>IF(A190&lt;$B$9,$B$3/100/12,$B$10/100/12)</f>
        <v>8.3333333333333332E-3</v>
      </c>
      <c r="F190">
        <f t="shared" si="15"/>
        <v>3259.83</v>
      </c>
      <c r="G190" s="2">
        <f t="shared" si="16"/>
        <v>4138.54</v>
      </c>
      <c r="H190" s="2">
        <f>IF(A190=$B$14,$B$15,0)</f>
        <v>0</v>
      </c>
      <c r="I190" s="2">
        <f t="shared" si="17"/>
        <v>387040.68999999907</v>
      </c>
    </row>
    <row r="191" spans="1:9" x14ac:dyDescent="0.3">
      <c r="A191">
        <f t="shared" si="18"/>
        <v>172</v>
      </c>
      <c r="B191">
        <f t="shared" si="19"/>
        <v>69</v>
      </c>
      <c r="C191" s="2">
        <f t="shared" si="20"/>
        <v>387040.68999999907</v>
      </c>
      <c r="D191" s="2">
        <f t="shared" si="14"/>
        <v>7398.37</v>
      </c>
      <c r="E191" s="3">
        <f>IF(A191&lt;$B$9,$B$3/100/12,$B$10/100/12)</f>
        <v>8.3333333333333332E-3</v>
      </c>
      <c r="F191">
        <f t="shared" si="15"/>
        <v>3225.34</v>
      </c>
      <c r="G191" s="2">
        <f t="shared" si="16"/>
        <v>4173.03</v>
      </c>
      <c r="H191" s="2">
        <f>IF(A191=$B$14,$B$15,0)</f>
        <v>0</v>
      </c>
      <c r="I191" s="2">
        <f t="shared" si="17"/>
        <v>382867.65999999904</v>
      </c>
    </row>
    <row r="192" spans="1:9" x14ac:dyDescent="0.3">
      <c r="A192">
        <f t="shared" si="18"/>
        <v>173</v>
      </c>
      <c r="B192">
        <f t="shared" si="19"/>
        <v>68</v>
      </c>
      <c r="C192" s="2">
        <f t="shared" si="20"/>
        <v>382867.65999999904</v>
      </c>
      <c r="D192" s="2">
        <f t="shared" si="14"/>
        <v>7398.37</v>
      </c>
      <c r="E192" s="3">
        <f>IF(A192&lt;$B$9,$B$3/100/12,$B$10/100/12)</f>
        <v>8.3333333333333332E-3</v>
      </c>
      <c r="F192">
        <f t="shared" si="15"/>
        <v>3190.56</v>
      </c>
      <c r="G192" s="2">
        <f t="shared" si="16"/>
        <v>4207.8100000000004</v>
      </c>
      <c r="H192" s="2">
        <f>IF(A192=$B$14,$B$15,0)</f>
        <v>0</v>
      </c>
      <c r="I192" s="2">
        <f t="shared" si="17"/>
        <v>378659.84999999905</v>
      </c>
    </row>
    <row r="193" spans="1:9" x14ac:dyDescent="0.3">
      <c r="A193">
        <f t="shared" si="18"/>
        <v>174</v>
      </c>
      <c r="B193">
        <f t="shared" si="19"/>
        <v>67</v>
      </c>
      <c r="C193" s="2">
        <f t="shared" si="20"/>
        <v>378659.84999999905</v>
      </c>
      <c r="D193" s="2">
        <f t="shared" si="14"/>
        <v>7398.37</v>
      </c>
      <c r="E193" s="3">
        <f>IF(A193&lt;$B$9,$B$3/100/12,$B$10/100/12)</f>
        <v>8.3333333333333332E-3</v>
      </c>
      <c r="F193">
        <f t="shared" si="15"/>
        <v>3155.5</v>
      </c>
      <c r="G193" s="2">
        <f t="shared" si="16"/>
        <v>4242.87</v>
      </c>
      <c r="H193" s="2">
        <f>IF(A193=$B$14,$B$15,0)</f>
        <v>0</v>
      </c>
      <c r="I193" s="2">
        <f t="shared" si="17"/>
        <v>374416.97999999905</v>
      </c>
    </row>
    <row r="194" spans="1:9" x14ac:dyDescent="0.3">
      <c r="A194">
        <f t="shared" si="18"/>
        <v>175</v>
      </c>
      <c r="B194">
        <f t="shared" si="19"/>
        <v>66</v>
      </c>
      <c r="C194" s="2">
        <f t="shared" si="20"/>
        <v>374416.97999999905</v>
      </c>
      <c r="D194" s="2">
        <f t="shared" si="14"/>
        <v>7398.37</v>
      </c>
      <c r="E194" s="3">
        <f>IF(A194&lt;$B$9,$B$3/100/12,$B$10/100/12)</f>
        <v>8.3333333333333332E-3</v>
      </c>
      <c r="F194">
        <f t="shared" si="15"/>
        <v>3120.14</v>
      </c>
      <c r="G194" s="2">
        <f t="shared" si="16"/>
        <v>4278.2299999999996</v>
      </c>
      <c r="H194" s="2">
        <f>IF(A194=$B$14,$B$15,0)</f>
        <v>0</v>
      </c>
      <c r="I194" s="2">
        <f t="shared" si="17"/>
        <v>370138.74999999907</v>
      </c>
    </row>
    <row r="195" spans="1:9" x14ac:dyDescent="0.3">
      <c r="A195">
        <f t="shared" si="18"/>
        <v>176</v>
      </c>
      <c r="B195">
        <f t="shared" si="19"/>
        <v>65</v>
      </c>
      <c r="C195" s="2">
        <f t="shared" si="20"/>
        <v>370138.74999999907</v>
      </c>
      <c r="D195" s="2">
        <f t="shared" si="14"/>
        <v>7398.37</v>
      </c>
      <c r="E195" s="3">
        <f>IF(A195&lt;$B$9,$B$3/100/12,$B$10/100/12)</f>
        <v>8.3333333333333332E-3</v>
      </c>
      <c r="F195">
        <f t="shared" si="15"/>
        <v>3084.49</v>
      </c>
      <c r="G195" s="2">
        <f t="shared" si="16"/>
        <v>4313.88</v>
      </c>
      <c r="H195" s="2">
        <f>IF(A195=$B$14,$B$15,0)</f>
        <v>0</v>
      </c>
      <c r="I195" s="2">
        <f t="shared" si="17"/>
        <v>365824.86999999906</v>
      </c>
    </row>
    <row r="196" spans="1:9" x14ac:dyDescent="0.3">
      <c r="A196">
        <f t="shared" si="18"/>
        <v>177</v>
      </c>
      <c r="B196">
        <f t="shared" si="19"/>
        <v>64</v>
      </c>
      <c r="C196" s="2">
        <f t="shared" si="20"/>
        <v>365824.86999999906</v>
      </c>
      <c r="D196" s="2">
        <f t="shared" si="14"/>
        <v>7398.37</v>
      </c>
      <c r="E196" s="3">
        <f>IF(A196&lt;$B$9,$B$3/100/12,$B$10/100/12)</f>
        <v>8.3333333333333332E-3</v>
      </c>
      <c r="F196">
        <f t="shared" si="15"/>
        <v>3048.54</v>
      </c>
      <c r="G196" s="2">
        <f t="shared" si="16"/>
        <v>4349.83</v>
      </c>
      <c r="H196" s="2">
        <f>IF(A196=$B$14,$B$15,0)</f>
        <v>0</v>
      </c>
      <c r="I196" s="2">
        <f t="shared" si="17"/>
        <v>361475.03999999905</v>
      </c>
    </row>
    <row r="197" spans="1:9" x14ac:dyDescent="0.3">
      <c r="A197">
        <f t="shared" si="18"/>
        <v>178</v>
      </c>
      <c r="B197">
        <f t="shared" si="19"/>
        <v>63</v>
      </c>
      <c r="C197" s="2">
        <f t="shared" si="20"/>
        <v>361475.03999999905</v>
      </c>
      <c r="D197" s="2">
        <f t="shared" si="14"/>
        <v>7398.37</v>
      </c>
      <c r="E197" s="3">
        <f>IF(A197&lt;$B$9,$B$3/100/12,$B$10/100/12)</f>
        <v>8.3333333333333332E-3</v>
      </c>
      <c r="F197">
        <f t="shared" si="15"/>
        <v>3012.29</v>
      </c>
      <c r="G197" s="2">
        <f t="shared" si="16"/>
        <v>4386.08</v>
      </c>
      <c r="H197" s="2">
        <f>IF(A197=$B$14,$B$15,0)</f>
        <v>0</v>
      </c>
      <c r="I197" s="2">
        <f t="shared" si="17"/>
        <v>357088.95999999903</v>
      </c>
    </row>
    <row r="198" spans="1:9" x14ac:dyDescent="0.3">
      <c r="A198">
        <f t="shared" si="18"/>
        <v>179</v>
      </c>
      <c r="B198">
        <f t="shared" si="19"/>
        <v>62</v>
      </c>
      <c r="C198" s="2">
        <f t="shared" si="20"/>
        <v>357088.95999999903</v>
      </c>
      <c r="D198" s="2">
        <f t="shared" si="14"/>
        <v>7398.37</v>
      </c>
      <c r="E198" s="3">
        <f>IF(A198&lt;$B$9,$B$3/100/12,$B$10/100/12)</f>
        <v>8.3333333333333332E-3</v>
      </c>
      <c r="F198">
        <f t="shared" si="15"/>
        <v>2975.74</v>
      </c>
      <c r="G198" s="2">
        <f t="shared" si="16"/>
        <v>4422.63</v>
      </c>
      <c r="H198" s="2">
        <f>IF(A198=$B$14,$B$15,0)</f>
        <v>0</v>
      </c>
      <c r="I198" s="2">
        <f t="shared" si="17"/>
        <v>352666.32999999903</v>
      </c>
    </row>
    <row r="199" spans="1:9" x14ac:dyDescent="0.3">
      <c r="A199">
        <f t="shared" si="18"/>
        <v>180</v>
      </c>
      <c r="B199">
        <f t="shared" si="19"/>
        <v>61</v>
      </c>
      <c r="C199" s="2">
        <f t="shared" si="20"/>
        <v>352666.32999999903</v>
      </c>
      <c r="D199" s="2">
        <f t="shared" si="14"/>
        <v>7398.37</v>
      </c>
      <c r="E199" s="3">
        <f>IF(A199&lt;$B$9,$B$3/100/12,$B$10/100/12)</f>
        <v>8.3333333333333332E-3</v>
      </c>
      <c r="F199">
        <f t="shared" si="15"/>
        <v>2938.89</v>
      </c>
      <c r="G199" s="2">
        <f t="shared" si="16"/>
        <v>4459.4799999999996</v>
      </c>
      <c r="H199" s="2">
        <f>IF(A199=$B$14,$B$15,0)</f>
        <v>0</v>
      </c>
      <c r="I199" s="2">
        <f t="shared" si="17"/>
        <v>348206.84999999905</v>
      </c>
    </row>
    <row r="200" spans="1:9" x14ac:dyDescent="0.3">
      <c r="A200">
        <f t="shared" si="18"/>
        <v>181</v>
      </c>
      <c r="B200">
        <f t="shared" si="19"/>
        <v>60</v>
      </c>
      <c r="C200" s="2">
        <f t="shared" si="20"/>
        <v>348206.84999999905</v>
      </c>
      <c r="D200" s="2">
        <f t="shared" si="14"/>
        <v>7398.37</v>
      </c>
      <c r="E200" s="3">
        <f>IF(A200&lt;$B$9,$B$3/100/12,$B$10/100/12)</f>
        <v>8.3333333333333332E-3</v>
      </c>
      <c r="F200">
        <f t="shared" si="15"/>
        <v>2901.72</v>
      </c>
      <c r="G200" s="2">
        <f t="shared" si="16"/>
        <v>4496.6499999999996</v>
      </c>
      <c r="H200" s="2">
        <f>IF(A200=$B$14,$B$15,0)</f>
        <v>0</v>
      </c>
      <c r="I200" s="2">
        <f t="shared" si="17"/>
        <v>343710.19999999902</v>
      </c>
    </row>
    <row r="201" spans="1:9" x14ac:dyDescent="0.3">
      <c r="A201">
        <f t="shared" si="18"/>
        <v>182</v>
      </c>
      <c r="B201">
        <f t="shared" si="19"/>
        <v>59</v>
      </c>
      <c r="C201" s="2">
        <f t="shared" si="20"/>
        <v>343710.19999999902</v>
      </c>
      <c r="D201" s="2">
        <f t="shared" si="14"/>
        <v>7398.37</v>
      </c>
      <c r="E201" s="3">
        <f>IF(A201&lt;$B$9,$B$3/100/12,$B$10/100/12)</f>
        <v>8.3333333333333332E-3</v>
      </c>
      <c r="F201">
        <f t="shared" si="15"/>
        <v>2864.25</v>
      </c>
      <c r="G201" s="2">
        <f t="shared" si="16"/>
        <v>4534.12</v>
      </c>
      <c r="H201" s="2">
        <f>IF(A201=$B$14,$B$15,0)</f>
        <v>0</v>
      </c>
      <c r="I201" s="2">
        <f t="shared" si="17"/>
        <v>339176.07999999903</v>
      </c>
    </row>
    <row r="202" spans="1:9" x14ac:dyDescent="0.3">
      <c r="A202">
        <f t="shared" si="18"/>
        <v>183</v>
      </c>
      <c r="B202">
        <f t="shared" si="19"/>
        <v>58</v>
      </c>
      <c r="C202" s="2">
        <f t="shared" si="20"/>
        <v>339176.07999999903</v>
      </c>
      <c r="D202" s="2">
        <f t="shared" si="14"/>
        <v>7398.37</v>
      </c>
      <c r="E202" s="3">
        <f>IF(A202&lt;$B$9,$B$3/100/12,$B$10/100/12)</f>
        <v>8.3333333333333332E-3</v>
      </c>
      <c r="F202">
        <f t="shared" si="15"/>
        <v>2826.47</v>
      </c>
      <c r="G202" s="2">
        <f t="shared" si="16"/>
        <v>4571.8999999999996</v>
      </c>
      <c r="H202" s="2">
        <f>IF(A202=$B$14,$B$15,0)</f>
        <v>0</v>
      </c>
      <c r="I202" s="2">
        <f t="shared" si="17"/>
        <v>334604.179999999</v>
      </c>
    </row>
    <row r="203" spans="1:9" x14ac:dyDescent="0.3">
      <c r="A203">
        <f t="shared" si="18"/>
        <v>184</v>
      </c>
      <c r="B203">
        <f t="shared" si="19"/>
        <v>57</v>
      </c>
      <c r="C203" s="2">
        <f t="shared" si="20"/>
        <v>334604.179999999</v>
      </c>
      <c r="D203" s="2">
        <f t="shared" si="14"/>
        <v>7398.37</v>
      </c>
      <c r="E203" s="3">
        <f>IF(A203&lt;$B$9,$B$3/100/12,$B$10/100/12)</f>
        <v>8.3333333333333332E-3</v>
      </c>
      <c r="F203">
        <f t="shared" si="15"/>
        <v>2788.37</v>
      </c>
      <c r="G203" s="2">
        <f t="shared" si="16"/>
        <v>4610</v>
      </c>
      <c r="H203" s="2">
        <f>IF(A203=$B$14,$B$15,0)</f>
        <v>0</v>
      </c>
      <c r="I203" s="2">
        <f t="shared" si="17"/>
        <v>329994.179999999</v>
      </c>
    </row>
    <row r="204" spans="1:9" x14ac:dyDescent="0.3">
      <c r="A204">
        <f t="shared" si="18"/>
        <v>185</v>
      </c>
      <c r="B204">
        <f t="shared" si="19"/>
        <v>56</v>
      </c>
      <c r="C204" s="2">
        <f t="shared" si="20"/>
        <v>329994.179999999</v>
      </c>
      <c r="D204" s="2">
        <f t="shared" si="14"/>
        <v>7398.37</v>
      </c>
      <c r="E204" s="3">
        <f>IF(A204&lt;$B$9,$B$3/100/12,$B$10/100/12)</f>
        <v>8.3333333333333332E-3</v>
      </c>
      <c r="F204">
        <f t="shared" si="15"/>
        <v>2749.95</v>
      </c>
      <c r="G204" s="2">
        <f t="shared" si="16"/>
        <v>4648.42</v>
      </c>
      <c r="H204" s="2">
        <f>IF(A204=$B$14,$B$15,0)</f>
        <v>0</v>
      </c>
      <c r="I204" s="2">
        <f t="shared" si="17"/>
        <v>325345.75999999902</v>
      </c>
    </row>
    <row r="205" spans="1:9" x14ac:dyDescent="0.3">
      <c r="A205">
        <f t="shared" si="18"/>
        <v>186</v>
      </c>
      <c r="B205">
        <f t="shared" si="19"/>
        <v>55</v>
      </c>
      <c r="C205" s="2">
        <f t="shared" si="20"/>
        <v>325345.75999999902</v>
      </c>
      <c r="D205" s="2">
        <f t="shared" si="14"/>
        <v>7398.37</v>
      </c>
      <c r="E205" s="3">
        <f>IF(A205&lt;$B$9,$B$3/100/12,$B$10/100/12)</f>
        <v>8.3333333333333332E-3</v>
      </c>
      <c r="F205">
        <f t="shared" si="15"/>
        <v>2711.21</v>
      </c>
      <c r="G205" s="2">
        <f t="shared" si="16"/>
        <v>4687.16</v>
      </c>
      <c r="H205" s="2">
        <f>IF(A205=$B$14,$B$15,0)</f>
        <v>0</v>
      </c>
      <c r="I205" s="2">
        <f t="shared" si="17"/>
        <v>320658.59999999905</v>
      </c>
    </row>
    <row r="206" spans="1:9" x14ac:dyDescent="0.3">
      <c r="A206">
        <f t="shared" si="18"/>
        <v>187</v>
      </c>
      <c r="B206">
        <f t="shared" si="19"/>
        <v>54</v>
      </c>
      <c r="C206" s="2">
        <f t="shared" si="20"/>
        <v>320658.59999999905</v>
      </c>
      <c r="D206" s="2">
        <f t="shared" si="14"/>
        <v>7398.37</v>
      </c>
      <c r="E206" s="3">
        <f>IF(A206&lt;$B$9,$B$3/100/12,$B$10/100/12)</f>
        <v>8.3333333333333332E-3</v>
      </c>
      <c r="F206">
        <f t="shared" si="15"/>
        <v>2672.15</v>
      </c>
      <c r="G206" s="2">
        <f t="shared" si="16"/>
        <v>4726.22</v>
      </c>
      <c r="H206" s="2">
        <f>IF(A206=$B$14,$B$15,0)</f>
        <v>0</v>
      </c>
      <c r="I206" s="2">
        <f t="shared" si="17"/>
        <v>315932.37999999907</v>
      </c>
    </row>
    <row r="207" spans="1:9" x14ac:dyDescent="0.3">
      <c r="A207">
        <f t="shared" si="18"/>
        <v>188</v>
      </c>
      <c r="B207">
        <f t="shared" si="19"/>
        <v>53</v>
      </c>
      <c r="C207" s="2">
        <f t="shared" si="20"/>
        <v>315932.37999999907</v>
      </c>
      <c r="D207" s="2">
        <f t="shared" si="14"/>
        <v>7398.37</v>
      </c>
      <c r="E207" s="3">
        <f>IF(A207&lt;$B$9,$B$3/100/12,$B$10/100/12)</f>
        <v>8.3333333333333332E-3</v>
      </c>
      <c r="F207">
        <f t="shared" si="15"/>
        <v>2632.77</v>
      </c>
      <c r="G207" s="2">
        <f t="shared" si="16"/>
        <v>4765.6000000000004</v>
      </c>
      <c r="H207" s="2">
        <f>IF(A207=$B$14,$B$15,0)</f>
        <v>0</v>
      </c>
      <c r="I207" s="2">
        <f t="shared" si="17"/>
        <v>311166.7799999991</v>
      </c>
    </row>
    <row r="208" spans="1:9" x14ac:dyDescent="0.3">
      <c r="A208">
        <f t="shared" si="18"/>
        <v>189</v>
      </c>
      <c r="B208">
        <f t="shared" si="19"/>
        <v>52</v>
      </c>
      <c r="C208" s="2">
        <f t="shared" si="20"/>
        <v>311166.7799999991</v>
      </c>
      <c r="D208" s="2">
        <f t="shared" si="14"/>
        <v>7398.37</v>
      </c>
      <c r="E208" s="3">
        <f>IF(A208&lt;$B$9,$B$3/100/12,$B$10/100/12)</f>
        <v>8.3333333333333332E-3</v>
      </c>
      <c r="F208">
        <f t="shared" si="15"/>
        <v>2593.06</v>
      </c>
      <c r="G208" s="2">
        <f t="shared" si="16"/>
        <v>4805.3100000000004</v>
      </c>
      <c r="H208" s="2">
        <f>IF(A208=$B$14,$B$15,0)</f>
        <v>0</v>
      </c>
      <c r="I208" s="2">
        <f t="shared" si="17"/>
        <v>306361.4699999991</v>
      </c>
    </row>
    <row r="209" spans="1:9" x14ac:dyDescent="0.3">
      <c r="A209">
        <f t="shared" si="18"/>
        <v>190</v>
      </c>
      <c r="B209">
        <f t="shared" si="19"/>
        <v>51</v>
      </c>
      <c r="C209" s="2">
        <f t="shared" si="20"/>
        <v>306361.4699999991</v>
      </c>
      <c r="D209" s="2">
        <f t="shared" si="14"/>
        <v>7398.37</v>
      </c>
      <c r="E209" s="3">
        <f>IF(A209&lt;$B$9,$B$3/100/12,$B$10/100/12)</f>
        <v>8.3333333333333332E-3</v>
      </c>
      <c r="F209">
        <f t="shared" si="15"/>
        <v>2553.0100000000002</v>
      </c>
      <c r="G209" s="2">
        <f t="shared" si="16"/>
        <v>4845.3599999999997</v>
      </c>
      <c r="H209" s="2">
        <f>IF(A209=$B$14,$B$15,0)</f>
        <v>0</v>
      </c>
      <c r="I209" s="2">
        <f t="shared" si="17"/>
        <v>301516.10999999911</v>
      </c>
    </row>
    <row r="210" spans="1:9" x14ac:dyDescent="0.3">
      <c r="A210">
        <f t="shared" si="18"/>
        <v>191</v>
      </c>
      <c r="B210">
        <f t="shared" si="19"/>
        <v>50</v>
      </c>
      <c r="C210" s="2">
        <f t="shared" si="20"/>
        <v>301516.10999999911</v>
      </c>
      <c r="D210" s="2">
        <f t="shared" si="14"/>
        <v>7398.37</v>
      </c>
      <c r="E210" s="3">
        <f>IF(A210&lt;$B$9,$B$3/100/12,$B$10/100/12)</f>
        <v>8.3333333333333332E-3</v>
      </c>
      <c r="F210">
        <f t="shared" si="15"/>
        <v>2512.63</v>
      </c>
      <c r="G210" s="2">
        <f t="shared" si="16"/>
        <v>4885.74</v>
      </c>
      <c r="H210" s="2">
        <f>IF(A210=$B$14,$B$15,0)</f>
        <v>0</v>
      </c>
      <c r="I210" s="2">
        <f t="shared" si="17"/>
        <v>296630.36999999912</v>
      </c>
    </row>
    <row r="211" spans="1:9" x14ac:dyDescent="0.3">
      <c r="A211">
        <f t="shared" si="18"/>
        <v>192</v>
      </c>
      <c r="B211">
        <f t="shared" si="19"/>
        <v>49</v>
      </c>
      <c r="C211" s="2">
        <f t="shared" si="20"/>
        <v>296630.36999999912</v>
      </c>
      <c r="D211" s="2">
        <f t="shared" si="14"/>
        <v>7398.37</v>
      </c>
      <c r="E211" s="3">
        <f>IF(A211&lt;$B$9,$B$3/100/12,$B$10/100/12)</f>
        <v>8.3333333333333332E-3</v>
      </c>
      <c r="F211">
        <f t="shared" si="15"/>
        <v>2471.92</v>
      </c>
      <c r="G211" s="2">
        <f t="shared" si="16"/>
        <v>4926.45</v>
      </c>
      <c r="H211" s="2">
        <f>IF(A211=$B$14,$B$15,0)</f>
        <v>0</v>
      </c>
      <c r="I211" s="2">
        <f t="shared" si="17"/>
        <v>291703.91999999911</v>
      </c>
    </row>
    <row r="212" spans="1:9" x14ac:dyDescent="0.3">
      <c r="A212">
        <f t="shared" si="18"/>
        <v>193</v>
      </c>
      <c r="B212">
        <f t="shared" si="19"/>
        <v>48</v>
      </c>
      <c r="C212" s="2">
        <f t="shared" si="20"/>
        <v>291703.91999999911</v>
      </c>
      <c r="D212" s="2">
        <f t="shared" si="14"/>
        <v>7398.37</v>
      </c>
      <c r="E212" s="3">
        <f>IF(A212&lt;$B$9,$B$3/100/12,$B$10/100/12)</f>
        <v>8.3333333333333332E-3</v>
      </c>
      <c r="F212">
        <f t="shared" si="15"/>
        <v>2430.87</v>
      </c>
      <c r="G212" s="2">
        <f t="shared" si="16"/>
        <v>4967.5</v>
      </c>
      <c r="H212" s="2">
        <f>IF(A212=$B$14,$B$15,0)</f>
        <v>0</v>
      </c>
      <c r="I212" s="2">
        <f t="shared" si="17"/>
        <v>286736.41999999911</v>
      </c>
    </row>
    <row r="213" spans="1:9" x14ac:dyDescent="0.3">
      <c r="A213">
        <f t="shared" si="18"/>
        <v>194</v>
      </c>
      <c r="B213">
        <f t="shared" si="19"/>
        <v>47</v>
      </c>
      <c r="C213" s="2">
        <f t="shared" si="20"/>
        <v>286736.41999999911</v>
      </c>
      <c r="D213" s="2">
        <f t="shared" ref="D213:D259" si="21">IF(A213&lt;$B$9,
     $B$7,
     IF(A213&lt;$B$14,
        $B$12,
        IF(A213=$B$14,
            $B$12,
            $B$17
        )
     )
)</f>
        <v>7398.37</v>
      </c>
      <c r="E213" s="3">
        <f>IF(A213&lt;$B$9,$B$3/100/12,$B$10/100/12)</f>
        <v>8.3333333333333332E-3</v>
      </c>
      <c r="F213">
        <f t="shared" ref="F213:F259" si="22">ROUND(C213*E213,2)</f>
        <v>2389.4699999999998</v>
      </c>
      <c r="G213" s="2">
        <f t="shared" ref="G213:G259" si="23">ROUND(IF(D213-F213&gt;C213,C213,D213-F213),2)</f>
        <v>5008.8999999999996</v>
      </c>
      <c r="H213" s="2">
        <f>IF(A213=$B$14,$B$15,0)</f>
        <v>0</v>
      </c>
      <c r="I213" s="2">
        <f t="shared" ref="I213:I259" si="24">C213-G213-H213</f>
        <v>281727.51999999909</v>
      </c>
    </row>
    <row r="214" spans="1:9" x14ac:dyDescent="0.3">
      <c r="A214">
        <f t="shared" ref="A214:A259" si="25">A213+1</f>
        <v>195</v>
      </c>
      <c r="B214">
        <f t="shared" ref="B214:B259" si="26">B213-1</f>
        <v>46</v>
      </c>
      <c r="C214" s="2">
        <f t="shared" ref="C214:C259" si="27">I213</f>
        <v>281727.51999999909</v>
      </c>
      <c r="D214" s="2">
        <f t="shared" si="21"/>
        <v>7398.37</v>
      </c>
      <c r="E214" s="3">
        <f>IF(A214&lt;$B$9,$B$3/100/12,$B$10/100/12)</f>
        <v>8.3333333333333332E-3</v>
      </c>
      <c r="F214">
        <f t="shared" si="22"/>
        <v>2347.73</v>
      </c>
      <c r="G214" s="2">
        <f t="shared" si="23"/>
        <v>5050.6400000000003</v>
      </c>
      <c r="H214" s="2">
        <f>IF(A214=$B$14,$B$15,0)</f>
        <v>0</v>
      </c>
      <c r="I214" s="2">
        <f t="shared" si="24"/>
        <v>276676.87999999907</v>
      </c>
    </row>
    <row r="215" spans="1:9" x14ac:dyDescent="0.3">
      <c r="A215">
        <f t="shared" si="25"/>
        <v>196</v>
      </c>
      <c r="B215">
        <f t="shared" si="26"/>
        <v>45</v>
      </c>
      <c r="C215" s="2">
        <f t="shared" si="27"/>
        <v>276676.87999999907</v>
      </c>
      <c r="D215" s="2">
        <f t="shared" si="21"/>
        <v>7398.37</v>
      </c>
      <c r="E215" s="3">
        <f>IF(A215&lt;$B$9,$B$3/100/12,$B$10/100/12)</f>
        <v>8.3333333333333332E-3</v>
      </c>
      <c r="F215">
        <f t="shared" si="22"/>
        <v>2305.64</v>
      </c>
      <c r="G215" s="2">
        <f t="shared" si="23"/>
        <v>5092.7299999999996</v>
      </c>
      <c r="H215" s="2">
        <f>IF(A215=$B$14,$B$15,0)</f>
        <v>0</v>
      </c>
      <c r="I215" s="2">
        <f t="shared" si="24"/>
        <v>271584.14999999909</v>
      </c>
    </row>
    <row r="216" spans="1:9" x14ac:dyDescent="0.3">
      <c r="A216">
        <f t="shared" si="25"/>
        <v>197</v>
      </c>
      <c r="B216">
        <f t="shared" si="26"/>
        <v>44</v>
      </c>
      <c r="C216" s="2">
        <f t="shared" si="27"/>
        <v>271584.14999999909</v>
      </c>
      <c r="D216" s="2">
        <f t="shared" si="21"/>
        <v>7398.37</v>
      </c>
      <c r="E216" s="3">
        <f>IF(A216&lt;$B$9,$B$3/100/12,$B$10/100/12)</f>
        <v>8.3333333333333332E-3</v>
      </c>
      <c r="F216">
        <f t="shared" si="22"/>
        <v>2263.1999999999998</v>
      </c>
      <c r="G216" s="2">
        <f t="shared" si="23"/>
        <v>5135.17</v>
      </c>
      <c r="H216" s="2">
        <f>IF(A216=$B$14,$B$15,0)</f>
        <v>0</v>
      </c>
      <c r="I216" s="2">
        <f t="shared" si="24"/>
        <v>266448.97999999911</v>
      </c>
    </row>
    <row r="217" spans="1:9" x14ac:dyDescent="0.3">
      <c r="A217">
        <f t="shared" si="25"/>
        <v>198</v>
      </c>
      <c r="B217">
        <f t="shared" si="26"/>
        <v>43</v>
      </c>
      <c r="C217" s="2">
        <f t="shared" si="27"/>
        <v>266448.97999999911</v>
      </c>
      <c r="D217" s="2">
        <f t="shared" si="21"/>
        <v>7398.37</v>
      </c>
      <c r="E217" s="3">
        <f>IF(A217&lt;$B$9,$B$3/100/12,$B$10/100/12)</f>
        <v>8.3333333333333332E-3</v>
      </c>
      <c r="F217">
        <f t="shared" si="22"/>
        <v>2220.41</v>
      </c>
      <c r="G217" s="2">
        <f t="shared" si="23"/>
        <v>5177.96</v>
      </c>
      <c r="H217" s="2">
        <f>IF(A217=$B$14,$B$15,0)</f>
        <v>0</v>
      </c>
      <c r="I217" s="2">
        <f t="shared" si="24"/>
        <v>261271.01999999912</v>
      </c>
    </row>
    <row r="218" spans="1:9" x14ac:dyDescent="0.3">
      <c r="A218">
        <f t="shared" si="25"/>
        <v>199</v>
      </c>
      <c r="B218">
        <f t="shared" si="26"/>
        <v>42</v>
      </c>
      <c r="C218" s="2">
        <f t="shared" si="27"/>
        <v>261271.01999999912</v>
      </c>
      <c r="D218" s="2">
        <f t="shared" si="21"/>
        <v>7398.37</v>
      </c>
      <c r="E218" s="3">
        <f>IF(A218&lt;$B$9,$B$3/100/12,$B$10/100/12)</f>
        <v>8.3333333333333332E-3</v>
      </c>
      <c r="F218">
        <f t="shared" si="22"/>
        <v>2177.2600000000002</v>
      </c>
      <c r="G218" s="2">
        <f t="shared" si="23"/>
        <v>5221.1099999999997</v>
      </c>
      <c r="H218" s="2">
        <f>IF(A218=$B$14,$B$15,0)</f>
        <v>0</v>
      </c>
      <c r="I218" s="2">
        <f t="shared" si="24"/>
        <v>256049.90999999913</v>
      </c>
    </row>
    <row r="219" spans="1:9" x14ac:dyDescent="0.3">
      <c r="A219">
        <f t="shared" si="25"/>
        <v>200</v>
      </c>
      <c r="B219">
        <f t="shared" si="26"/>
        <v>41</v>
      </c>
      <c r="C219" s="2">
        <f t="shared" si="27"/>
        <v>256049.90999999913</v>
      </c>
      <c r="D219" s="2">
        <f t="shared" si="21"/>
        <v>7398.37</v>
      </c>
      <c r="E219" s="3">
        <f>IF(A219&lt;$B$9,$B$3/100/12,$B$10/100/12)</f>
        <v>8.3333333333333332E-3</v>
      </c>
      <c r="F219">
        <f t="shared" si="22"/>
        <v>2133.75</v>
      </c>
      <c r="G219" s="2">
        <f t="shared" si="23"/>
        <v>5264.62</v>
      </c>
      <c r="H219" s="2">
        <f>IF(A219=$B$14,$B$15,0)</f>
        <v>0</v>
      </c>
      <c r="I219" s="2">
        <f t="shared" si="24"/>
        <v>250785.28999999914</v>
      </c>
    </row>
    <row r="220" spans="1:9" x14ac:dyDescent="0.3">
      <c r="A220">
        <f t="shared" si="25"/>
        <v>201</v>
      </c>
      <c r="B220">
        <f t="shared" si="26"/>
        <v>40</v>
      </c>
      <c r="C220" s="2">
        <f t="shared" si="27"/>
        <v>250785.28999999914</v>
      </c>
      <c r="D220" s="2">
        <f t="shared" si="21"/>
        <v>7398.37</v>
      </c>
      <c r="E220" s="3">
        <f>IF(A220&lt;$B$9,$B$3/100/12,$B$10/100/12)</f>
        <v>8.3333333333333332E-3</v>
      </c>
      <c r="F220">
        <f t="shared" si="22"/>
        <v>2089.88</v>
      </c>
      <c r="G220" s="2">
        <f t="shared" si="23"/>
        <v>5308.49</v>
      </c>
      <c r="H220" s="2">
        <f>IF(A220=$B$14,$B$15,0)</f>
        <v>0</v>
      </c>
      <c r="I220" s="2">
        <f t="shared" si="24"/>
        <v>245476.79999999914</v>
      </c>
    </row>
    <row r="221" spans="1:9" x14ac:dyDescent="0.3">
      <c r="A221">
        <f t="shared" si="25"/>
        <v>202</v>
      </c>
      <c r="B221">
        <f t="shared" si="26"/>
        <v>39</v>
      </c>
      <c r="C221" s="2">
        <f t="shared" si="27"/>
        <v>245476.79999999914</v>
      </c>
      <c r="D221" s="2">
        <f t="shared" si="21"/>
        <v>7398.37</v>
      </c>
      <c r="E221" s="3">
        <f>IF(A221&lt;$B$9,$B$3/100/12,$B$10/100/12)</f>
        <v>8.3333333333333332E-3</v>
      </c>
      <c r="F221">
        <f t="shared" si="22"/>
        <v>2045.64</v>
      </c>
      <c r="G221" s="2">
        <f t="shared" si="23"/>
        <v>5352.73</v>
      </c>
      <c r="H221" s="2">
        <f>IF(A221=$B$14,$B$15,0)</f>
        <v>0</v>
      </c>
      <c r="I221" s="2">
        <f t="shared" si="24"/>
        <v>240124.06999999913</v>
      </c>
    </row>
    <row r="222" spans="1:9" x14ac:dyDescent="0.3">
      <c r="A222">
        <f t="shared" si="25"/>
        <v>203</v>
      </c>
      <c r="B222">
        <f t="shared" si="26"/>
        <v>38</v>
      </c>
      <c r="C222" s="2">
        <f t="shared" si="27"/>
        <v>240124.06999999913</v>
      </c>
      <c r="D222" s="2">
        <f t="shared" si="21"/>
        <v>7398.37</v>
      </c>
      <c r="E222" s="3">
        <f>IF(A222&lt;$B$9,$B$3/100/12,$B$10/100/12)</f>
        <v>8.3333333333333332E-3</v>
      </c>
      <c r="F222">
        <f t="shared" si="22"/>
        <v>2001.03</v>
      </c>
      <c r="G222" s="2">
        <f t="shared" si="23"/>
        <v>5397.34</v>
      </c>
      <c r="H222" s="2">
        <f>IF(A222=$B$14,$B$15,0)</f>
        <v>0</v>
      </c>
      <c r="I222" s="2">
        <f t="shared" si="24"/>
        <v>234726.72999999914</v>
      </c>
    </row>
    <row r="223" spans="1:9" x14ac:dyDescent="0.3">
      <c r="A223">
        <f t="shared" si="25"/>
        <v>204</v>
      </c>
      <c r="B223">
        <f t="shared" si="26"/>
        <v>37</v>
      </c>
      <c r="C223" s="2">
        <f t="shared" si="27"/>
        <v>234726.72999999914</v>
      </c>
      <c r="D223" s="2">
        <f t="shared" si="21"/>
        <v>7398.37</v>
      </c>
      <c r="E223" s="3">
        <f>IF(A223&lt;$B$9,$B$3/100/12,$B$10/100/12)</f>
        <v>8.3333333333333332E-3</v>
      </c>
      <c r="F223">
        <f t="shared" si="22"/>
        <v>1956.06</v>
      </c>
      <c r="G223" s="2">
        <f t="shared" si="23"/>
        <v>5442.31</v>
      </c>
      <c r="H223" s="2">
        <f>IF(A223=$B$14,$B$15,0)</f>
        <v>0</v>
      </c>
      <c r="I223" s="2">
        <f t="shared" si="24"/>
        <v>229284.41999999914</v>
      </c>
    </row>
    <row r="224" spans="1:9" x14ac:dyDescent="0.3">
      <c r="A224">
        <f t="shared" si="25"/>
        <v>205</v>
      </c>
      <c r="B224">
        <f t="shared" si="26"/>
        <v>36</v>
      </c>
      <c r="C224" s="2">
        <f t="shared" si="27"/>
        <v>229284.41999999914</v>
      </c>
      <c r="D224" s="2">
        <f t="shared" si="21"/>
        <v>7398.37</v>
      </c>
      <c r="E224" s="3">
        <f>IF(A224&lt;$B$9,$B$3/100/12,$B$10/100/12)</f>
        <v>8.3333333333333332E-3</v>
      </c>
      <c r="F224">
        <f t="shared" si="22"/>
        <v>1910.7</v>
      </c>
      <c r="G224" s="2">
        <f t="shared" si="23"/>
        <v>5487.67</v>
      </c>
      <c r="H224" s="2">
        <f>IF(A224=$B$14,$B$15,0)</f>
        <v>0</v>
      </c>
      <c r="I224" s="2">
        <f t="shared" si="24"/>
        <v>223796.74999999913</v>
      </c>
    </row>
    <row r="225" spans="1:9" x14ac:dyDescent="0.3">
      <c r="A225">
        <f t="shared" si="25"/>
        <v>206</v>
      </c>
      <c r="B225">
        <f t="shared" si="26"/>
        <v>35</v>
      </c>
      <c r="C225" s="2">
        <f t="shared" si="27"/>
        <v>223796.74999999913</v>
      </c>
      <c r="D225" s="2">
        <f t="shared" si="21"/>
        <v>7398.37</v>
      </c>
      <c r="E225" s="3">
        <f>IF(A225&lt;$B$9,$B$3/100/12,$B$10/100/12)</f>
        <v>8.3333333333333332E-3</v>
      </c>
      <c r="F225">
        <f t="shared" si="22"/>
        <v>1864.97</v>
      </c>
      <c r="G225" s="2">
        <f t="shared" si="23"/>
        <v>5533.4</v>
      </c>
      <c r="H225" s="2">
        <f>IF(A225=$B$14,$B$15,0)</f>
        <v>0</v>
      </c>
      <c r="I225" s="2">
        <f t="shared" si="24"/>
        <v>218263.34999999913</v>
      </c>
    </row>
    <row r="226" spans="1:9" x14ac:dyDescent="0.3">
      <c r="A226">
        <f t="shared" si="25"/>
        <v>207</v>
      </c>
      <c r="B226">
        <f t="shared" si="26"/>
        <v>34</v>
      </c>
      <c r="C226" s="2">
        <f t="shared" si="27"/>
        <v>218263.34999999913</v>
      </c>
      <c r="D226" s="2">
        <f t="shared" si="21"/>
        <v>7398.37</v>
      </c>
      <c r="E226" s="3">
        <f>IF(A226&lt;$B$9,$B$3/100/12,$B$10/100/12)</f>
        <v>8.3333333333333332E-3</v>
      </c>
      <c r="F226">
        <f t="shared" si="22"/>
        <v>1818.86</v>
      </c>
      <c r="G226" s="2">
        <f t="shared" si="23"/>
        <v>5579.51</v>
      </c>
      <c r="H226" s="2">
        <f>IF(A226=$B$14,$B$15,0)</f>
        <v>0</v>
      </c>
      <c r="I226" s="2">
        <f t="shared" si="24"/>
        <v>212683.83999999912</v>
      </c>
    </row>
    <row r="227" spans="1:9" x14ac:dyDescent="0.3">
      <c r="A227">
        <f t="shared" si="25"/>
        <v>208</v>
      </c>
      <c r="B227">
        <f t="shared" si="26"/>
        <v>33</v>
      </c>
      <c r="C227" s="2">
        <f t="shared" si="27"/>
        <v>212683.83999999912</v>
      </c>
      <c r="D227" s="2">
        <f t="shared" si="21"/>
        <v>7398.37</v>
      </c>
      <c r="E227" s="3">
        <f>IF(A227&lt;$B$9,$B$3/100/12,$B$10/100/12)</f>
        <v>8.3333333333333332E-3</v>
      </c>
      <c r="F227">
        <f t="shared" si="22"/>
        <v>1772.37</v>
      </c>
      <c r="G227" s="2">
        <f t="shared" si="23"/>
        <v>5626</v>
      </c>
      <c r="H227" s="2">
        <f>IF(A227=$B$14,$B$15,0)</f>
        <v>0</v>
      </c>
      <c r="I227" s="2">
        <f t="shared" si="24"/>
        <v>207057.83999999912</v>
      </c>
    </row>
    <row r="228" spans="1:9" x14ac:dyDescent="0.3">
      <c r="A228">
        <f t="shared" si="25"/>
        <v>209</v>
      </c>
      <c r="B228">
        <f t="shared" si="26"/>
        <v>32</v>
      </c>
      <c r="C228" s="2">
        <f t="shared" si="27"/>
        <v>207057.83999999912</v>
      </c>
      <c r="D228" s="2">
        <f t="shared" si="21"/>
        <v>7398.37</v>
      </c>
      <c r="E228" s="3">
        <f>IF(A228&lt;$B$9,$B$3/100/12,$B$10/100/12)</f>
        <v>8.3333333333333332E-3</v>
      </c>
      <c r="F228">
        <f t="shared" si="22"/>
        <v>1725.48</v>
      </c>
      <c r="G228" s="2">
        <f t="shared" si="23"/>
        <v>5672.89</v>
      </c>
      <c r="H228" s="2">
        <f>IF(A228=$B$14,$B$15,0)</f>
        <v>0</v>
      </c>
      <c r="I228" s="2">
        <f t="shared" si="24"/>
        <v>201384.94999999911</v>
      </c>
    </row>
    <row r="229" spans="1:9" x14ac:dyDescent="0.3">
      <c r="A229">
        <f t="shared" si="25"/>
        <v>210</v>
      </c>
      <c r="B229">
        <f t="shared" si="26"/>
        <v>31</v>
      </c>
      <c r="C229" s="2">
        <f t="shared" si="27"/>
        <v>201384.94999999911</v>
      </c>
      <c r="D229" s="2">
        <f t="shared" si="21"/>
        <v>7398.37</v>
      </c>
      <c r="E229" s="3">
        <f>IF(A229&lt;$B$9,$B$3/100/12,$B$10/100/12)</f>
        <v>8.3333333333333332E-3</v>
      </c>
      <c r="F229">
        <f t="shared" si="22"/>
        <v>1678.21</v>
      </c>
      <c r="G229" s="2">
        <f t="shared" si="23"/>
        <v>5720.16</v>
      </c>
      <c r="H229" s="2">
        <f>IF(A229=$B$14,$B$15,0)</f>
        <v>0</v>
      </c>
      <c r="I229" s="2">
        <f t="shared" si="24"/>
        <v>195664.78999999911</v>
      </c>
    </row>
    <row r="230" spans="1:9" x14ac:dyDescent="0.3">
      <c r="A230">
        <f t="shared" si="25"/>
        <v>211</v>
      </c>
      <c r="B230">
        <f t="shared" si="26"/>
        <v>30</v>
      </c>
      <c r="C230" s="2">
        <f t="shared" si="27"/>
        <v>195664.78999999911</v>
      </c>
      <c r="D230" s="2">
        <f t="shared" si="21"/>
        <v>7398.37</v>
      </c>
      <c r="E230" s="3">
        <f>IF(A230&lt;$B$9,$B$3/100/12,$B$10/100/12)</f>
        <v>8.3333333333333332E-3</v>
      </c>
      <c r="F230">
        <f t="shared" si="22"/>
        <v>1630.54</v>
      </c>
      <c r="G230" s="2">
        <f t="shared" si="23"/>
        <v>5767.83</v>
      </c>
      <c r="H230" s="2">
        <f>IF(A230=$B$14,$B$15,0)</f>
        <v>0</v>
      </c>
      <c r="I230" s="2">
        <f t="shared" si="24"/>
        <v>189896.95999999912</v>
      </c>
    </row>
    <row r="231" spans="1:9" x14ac:dyDescent="0.3">
      <c r="A231">
        <f t="shared" si="25"/>
        <v>212</v>
      </c>
      <c r="B231">
        <f t="shared" si="26"/>
        <v>29</v>
      </c>
      <c r="C231" s="2">
        <f t="shared" si="27"/>
        <v>189896.95999999912</v>
      </c>
      <c r="D231" s="2">
        <f t="shared" si="21"/>
        <v>7398.37</v>
      </c>
      <c r="E231" s="3">
        <f>IF(A231&lt;$B$9,$B$3/100/12,$B$10/100/12)</f>
        <v>8.3333333333333332E-3</v>
      </c>
      <c r="F231">
        <f t="shared" si="22"/>
        <v>1582.47</v>
      </c>
      <c r="G231" s="2">
        <f t="shared" si="23"/>
        <v>5815.9</v>
      </c>
      <c r="H231" s="2">
        <f>IF(A231=$B$14,$B$15,0)</f>
        <v>0</v>
      </c>
      <c r="I231" s="2">
        <f t="shared" si="24"/>
        <v>184081.05999999912</v>
      </c>
    </row>
    <row r="232" spans="1:9" x14ac:dyDescent="0.3">
      <c r="A232">
        <f t="shared" si="25"/>
        <v>213</v>
      </c>
      <c r="B232">
        <f t="shared" si="26"/>
        <v>28</v>
      </c>
      <c r="C232" s="2">
        <f t="shared" si="27"/>
        <v>184081.05999999912</v>
      </c>
      <c r="D232" s="2">
        <f t="shared" si="21"/>
        <v>7398.37</v>
      </c>
      <c r="E232" s="3">
        <f>IF(A232&lt;$B$9,$B$3/100/12,$B$10/100/12)</f>
        <v>8.3333333333333332E-3</v>
      </c>
      <c r="F232">
        <f t="shared" si="22"/>
        <v>1534.01</v>
      </c>
      <c r="G232" s="2">
        <f t="shared" si="23"/>
        <v>5864.36</v>
      </c>
      <c r="H232" s="2">
        <f>IF(A232=$B$14,$B$15,0)</f>
        <v>0</v>
      </c>
      <c r="I232" s="2">
        <f t="shared" si="24"/>
        <v>178216.69999999914</v>
      </c>
    </row>
    <row r="233" spans="1:9" x14ac:dyDescent="0.3">
      <c r="A233">
        <f t="shared" si="25"/>
        <v>214</v>
      </c>
      <c r="B233">
        <f t="shared" si="26"/>
        <v>27</v>
      </c>
      <c r="C233" s="2">
        <f t="shared" si="27"/>
        <v>178216.69999999914</v>
      </c>
      <c r="D233" s="2">
        <f t="shared" si="21"/>
        <v>7398.37</v>
      </c>
      <c r="E233" s="3">
        <f>IF(A233&lt;$B$9,$B$3/100/12,$B$10/100/12)</f>
        <v>8.3333333333333332E-3</v>
      </c>
      <c r="F233">
        <f t="shared" si="22"/>
        <v>1485.14</v>
      </c>
      <c r="G233" s="2">
        <f t="shared" si="23"/>
        <v>5913.23</v>
      </c>
      <c r="H233" s="2">
        <f>IF(A233=$B$14,$B$15,0)</f>
        <v>0</v>
      </c>
      <c r="I233" s="2">
        <f t="shared" si="24"/>
        <v>172303.46999999913</v>
      </c>
    </row>
    <row r="234" spans="1:9" x14ac:dyDescent="0.3">
      <c r="A234">
        <f t="shared" si="25"/>
        <v>215</v>
      </c>
      <c r="B234">
        <f t="shared" si="26"/>
        <v>26</v>
      </c>
      <c r="C234" s="2">
        <f t="shared" si="27"/>
        <v>172303.46999999913</v>
      </c>
      <c r="D234" s="2">
        <f t="shared" si="21"/>
        <v>7398.37</v>
      </c>
      <c r="E234" s="3">
        <f>IF(A234&lt;$B$9,$B$3/100/12,$B$10/100/12)</f>
        <v>8.3333333333333332E-3</v>
      </c>
      <c r="F234">
        <f t="shared" si="22"/>
        <v>1435.86</v>
      </c>
      <c r="G234" s="2">
        <f t="shared" si="23"/>
        <v>5962.51</v>
      </c>
      <c r="H234" s="2">
        <f>IF(A234=$B$14,$B$15,0)</f>
        <v>0</v>
      </c>
      <c r="I234" s="2">
        <f t="shared" si="24"/>
        <v>166340.95999999912</v>
      </c>
    </row>
    <row r="235" spans="1:9" x14ac:dyDescent="0.3">
      <c r="A235">
        <f t="shared" si="25"/>
        <v>216</v>
      </c>
      <c r="B235">
        <f t="shared" si="26"/>
        <v>25</v>
      </c>
      <c r="C235" s="2">
        <f t="shared" si="27"/>
        <v>166340.95999999912</v>
      </c>
      <c r="D235" s="2">
        <f t="shared" si="21"/>
        <v>7398.37</v>
      </c>
      <c r="E235" s="3">
        <f>IF(A235&lt;$B$9,$B$3/100/12,$B$10/100/12)</f>
        <v>8.3333333333333332E-3</v>
      </c>
      <c r="F235">
        <f t="shared" si="22"/>
        <v>1386.17</v>
      </c>
      <c r="G235" s="2">
        <f t="shared" si="23"/>
        <v>6012.2</v>
      </c>
      <c r="H235" s="2">
        <f>IF(A235=$B$14,$B$15,0)</f>
        <v>0</v>
      </c>
      <c r="I235" s="2">
        <f t="shared" si="24"/>
        <v>160328.75999999911</v>
      </c>
    </row>
    <row r="236" spans="1:9" x14ac:dyDescent="0.3">
      <c r="A236">
        <f t="shared" si="25"/>
        <v>217</v>
      </c>
      <c r="B236">
        <f t="shared" si="26"/>
        <v>24</v>
      </c>
      <c r="C236" s="2">
        <f t="shared" si="27"/>
        <v>160328.75999999911</v>
      </c>
      <c r="D236" s="2">
        <f t="shared" si="21"/>
        <v>7398.37</v>
      </c>
      <c r="E236" s="3">
        <f>IF(A236&lt;$B$9,$B$3/100/12,$B$10/100/12)</f>
        <v>8.3333333333333332E-3</v>
      </c>
      <c r="F236">
        <f t="shared" si="22"/>
        <v>1336.07</v>
      </c>
      <c r="G236" s="2">
        <f t="shared" si="23"/>
        <v>6062.3</v>
      </c>
      <c r="H236" s="2">
        <f>IF(A236=$B$14,$B$15,0)</f>
        <v>0</v>
      </c>
      <c r="I236" s="2">
        <f t="shared" si="24"/>
        <v>154266.45999999912</v>
      </c>
    </row>
    <row r="237" spans="1:9" x14ac:dyDescent="0.3">
      <c r="A237">
        <f t="shared" si="25"/>
        <v>218</v>
      </c>
      <c r="B237">
        <f t="shared" si="26"/>
        <v>23</v>
      </c>
      <c r="C237" s="2">
        <f t="shared" si="27"/>
        <v>154266.45999999912</v>
      </c>
      <c r="D237" s="2">
        <f t="shared" si="21"/>
        <v>7398.37</v>
      </c>
      <c r="E237" s="3">
        <f>IF(A237&lt;$B$9,$B$3/100/12,$B$10/100/12)</f>
        <v>8.3333333333333332E-3</v>
      </c>
      <c r="F237">
        <f t="shared" si="22"/>
        <v>1285.55</v>
      </c>
      <c r="G237" s="2">
        <f t="shared" si="23"/>
        <v>6112.82</v>
      </c>
      <c r="H237" s="2">
        <f>IF(A237=$B$14,$B$15,0)</f>
        <v>0</v>
      </c>
      <c r="I237" s="2">
        <f t="shared" si="24"/>
        <v>148153.63999999911</v>
      </c>
    </row>
    <row r="238" spans="1:9" x14ac:dyDescent="0.3">
      <c r="A238">
        <f t="shared" si="25"/>
        <v>219</v>
      </c>
      <c r="B238">
        <f t="shared" si="26"/>
        <v>22</v>
      </c>
      <c r="C238" s="2">
        <f t="shared" si="27"/>
        <v>148153.63999999911</v>
      </c>
      <c r="D238" s="2">
        <f t="shared" si="21"/>
        <v>7398.37</v>
      </c>
      <c r="E238" s="3">
        <f>IF(A238&lt;$B$9,$B$3/100/12,$B$10/100/12)</f>
        <v>8.3333333333333332E-3</v>
      </c>
      <c r="F238">
        <f t="shared" si="22"/>
        <v>1234.6099999999999</v>
      </c>
      <c r="G238" s="2">
        <f t="shared" si="23"/>
        <v>6163.76</v>
      </c>
      <c r="H238" s="2">
        <f>IF(A238=$B$14,$B$15,0)</f>
        <v>0</v>
      </c>
      <c r="I238" s="2">
        <f t="shared" si="24"/>
        <v>141989.8799999991</v>
      </c>
    </row>
    <row r="239" spans="1:9" x14ac:dyDescent="0.3">
      <c r="A239">
        <f t="shared" si="25"/>
        <v>220</v>
      </c>
      <c r="B239">
        <f t="shared" si="26"/>
        <v>21</v>
      </c>
      <c r="C239" s="2">
        <f t="shared" si="27"/>
        <v>141989.8799999991</v>
      </c>
      <c r="D239" s="2">
        <f t="shared" si="21"/>
        <v>7398.37</v>
      </c>
      <c r="E239" s="3">
        <f>IF(A239&lt;$B$9,$B$3/100/12,$B$10/100/12)</f>
        <v>8.3333333333333332E-3</v>
      </c>
      <c r="F239">
        <f t="shared" si="22"/>
        <v>1183.25</v>
      </c>
      <c r="G239" s="2">
        <f t="shared" si="23"/>
        <v>6215.12</v>
      </c>
      <c r="H239" s="2">
        <f>IF(A239=$B$14,$B$15,0)</f>
        <v>0</v>
      </c>
      <c r="I239" s="2">
        <f t="shared" si="24"/>
        <v>135774.75999999911</v>
      </c>
    </row>
    <row r="240" spans="1:9" x14ac:dyDescent="0.3">
      <c r="A240">
        <f t="shared" si="25"/>
        <v>221</v>
      </c>
      <c r="B240">
        <f t="shared" si="26"/>
        <v>20</v>
      </c>
      <c r="C240" s="2">
        <f t="shared" si="27"/>
        <v>135774.75999999911</v>
      </c>
      <c r="D240" s="2">
        <f t="shared" si="21"/>
        <v>7398.37</v>
      </c>
      <c r="E240" s="3">
        <f>IF(A240&lt;$B$9,$B$3/100/12,$B$10/100/12)</f>
        <v>8.3333333333333332E-3</v>
      </c>
      <c r="F240">
        <f t="shared" si="22"/>
        <v>1131.46</v>
      </c>
      <c r="G240" s="2">
        <f t="shared" si="23"/>
        <v>6266.91</v>
      </c>
      <c r="H240" s="2">
        <f>IF(A240=$B$14,$B$15,0)</f>
        <v>0</v>
      </c>
      <c r="I240" s="2">
        <f t="shared" si="24"/>
        <v>129507.8499999991</v>
      </c>
    </row>
    <row r="241" spans="1:9" x14ac:dyDescent="0.3">
      <c r="A241">
        <f t="shared" si="25"/>
        <v>222</v>
      </c>
      <c r="B241">
        <f t="shared" si="26"/>
        <v>19</v>
      </c>
      <c r="C241" s="2">
        <f t="shared" si="27"/>
        <v>129507.8499999991</v>
      </c>
      <c r="D241" s="2">
        <f t="shared" si="21"/>
        <v>7398.37</v>
      </c>
      <c r="E241" s="3">
        <f>IF(A241&lt;$B$9,$B$3/100/12,$B$10/100/12)</f>
        <v>8.3333333333333332E-3</v>
      </c>
      <c r="F241">
        <f t="shared" si="22"/>
        <v>1079.23</v>
      </c>
      <c r="G241" s="2">
        <f t="shared" si="23"/>
        <v>6319.14</v>
      </c>
      <c r="H241" s="2">
        <f>IF(A241=$B$14,$B$15,0)</f>
        <v>0</v>
      </c>
      <c r="I241" s="2">
        <f t="shared" si="24"/>
        <v>123188.7099999991</v>
      </c>
    </row>
    <row r="242" spans="1:9" x14ac:dyDescent="0.3">
      <c r="A242">
        <f t="shared" si="25"/>
        <v>223</v>
      </c>
      <c r="B242">
        <f t="shared" si="26"/>
        <v>18</v>
      </c>
      <c r="C242" s="2">
        <f t="shared" si="27"/>
        <v>123188.7099999991</v>
      </c>
      <c r="D242" s="2">
        <f t="shared" si="21"/>
        <v>7398.37</v>
      </c>
      <c r="E242" s="3">
        <f>IF(A242&lt;$B$9,$B$3/100/12,$B$10/100/12)</f>
        <v>8.3333333333333332E-3</v>
      </c>
      <c r="F242">
        <f t="shared" si="22"/>
        <v>1026.57</v>
      </c>
      <c r="G242" s="2">
        <f t="shared" si="23"/>
        <v>6371.8</v>
      </c>
      <c r="H242" s="2">
        <f>IF(A242=$B$14,$B$15,0)</f>
        <v>0</v>
      </c>
      <c r="I242" s="2">
        <f t="shared" si="24"/>
        <v>116816.9099999991</v>
      </c>
    </row>
    <row r="243" spans="1:9" x14ac:dyDescent="0.3">
      <c r="A243">
        <f t="shared" si="25"/>
        <v>224</v>
      </c>
      <c r="B243">
        <f t="shared" si="26"/>
        <v>17</v>
      </c>
      <c r="C243" s="2">
        <f t="shared" si="27"/>
        <v>116816.9099999991</v>
      </c>
      <c r="D243" s="2">
        <f t="shared" si="21"/>
        <v>7398.37</v>
      </c>
      <c r="E243" s="3">
        <f>IF(A243&lt;$B$9,$B$3/100/12,$B$10/100/12)</f>
        <v>8.3333333333333332E-3</v>
      </c>
      <c r="F243">
        <f t="shared" si="22"/>
        <v>973.47</v>
      </c>
      <c r="G243" s="2">
        <f t="shared" si="23"/>
        <v>6424.9</v>
      </c>
      <c r="H243" s="2">
        <f>IF(A243=$B$14,$B$15,0)</f>
        <v>0</v>
      </c>
      <c r="I243" s="2">
        <f t="shared" si="24"/>
        <v>110392.00999999911</v>
      </c>
    </row>
    <row r="244" spans="1:9" x14ac:dyDescent="0.3">
      <c r="A244">
        <f t="shared" si="25"/>
        <v>225</v>
      </c>
      <c r="B244">
        <f t="shared" si="26"/>
        <v>16</v>
      </c>
      <c r="C244" s="2">
        <f t="shared" si="27"/>
        <v>110392.00999999911</v>
      </c>
      <c r="D244" s="2">
        <f t="shared" si="21"/>
        <v>7398.37</v>
      </c>
      <c r="E244" s="3">
        <f>IF(A244&lt;$B$9,$B$3/100/12,$B$10/100/12)</f>
        <v>8.3333333333333332E-3</v>
      </c>
      <c r="F244">
        <f t="shared" si="22"/>
        <v>919.93</v>
      </c>
      <c r="G244" s="2">
        <f t="shared" si="23"/>
        <v>6478.44</v>
      </c>
      <c r="H244" s="2">
        <f>IF(A244=$B$14,$B$15,0)</f>
        <v>0</v>
      </c>
      <c r="I244" s="2">
        <f t="shared" si="24"/>
        <v>103913.5699999991</v>
      </c>
    </row>
    <row r="245" spans="1:9" x14ac:dyDescent="0.3">
      <c r="A245">
        <f t="shared" si="25"/>
        <v>226</v>
      </c>
      <c r="B245">
        <f t="shared" si="26"/>
        <v>15</v>
      </c>
      <c r="C245" s="2">
        <f t="shared" si="27"/>
        <v>103913.5699999991</v>
      </c>
      <c r="D245" s="2">
        <f t="shared" si="21"/>
        <v>7398.37</v>
      </c>
      <c r="E245" s="3">
        <f>IF(A245&lt;$B$9,$B$3/100/12,$B$10/100/12)</f>
        <v>8.3333333333333332E-3</v>
      </c>
      <c r="F245">
        <f t="shared" si="22"/>
        <v>865.95</v>
      </c>
      <c r="G245" s="2">
        <f t="shared" si="23"/>
        <v>6532.42</v>
      </c>
      <c r="H245" s="2">
        <f>IF(A245=$B$14,$B$15,0)</f>
        <v>0</v>
      </c>
      <c r="I245" s="2">
        <f t="shared" si="24"/>
        <v>97381.149999999107</v>
      </c>
    </row>
    <row r="246" spans="1:9" x14ac:dyDescent="0.3">
      <c r="A246">
        <f t="shared" si="25"/>
        <v>227</v>
      </c>
      <c r="B246">
        <f t="shared" si="26"/>
        <v>14</v>
      </c>
      <c r="C246" s="2">
        <f t="shared" si="27"/>
        <v>97381.149999999107</v>
      </c>
      <c r="D246" s="2">
        <f t="shared" si="21"/>
        <v>7398.37</v>
      </c>
      <c r="E246" s="3">
        <f>IF(A246&lt;$B$9,$B$3/100/12,$B$10/100/12)</f>
        <v>8.3333333333333332E-3</v>
      </c>
      <c r="F246">
        <f t="shared" si="22"/>
        <v>811.51</v>
      </c>
      <c r="G246" s="2">
        <f t="shared" si="23"/>
        <v>6586.86</v>
      </c>
      <c r="H246" s="2">
        <f>IF(A246=$B$14,$B$15,0)</f>
        <v>0</v>
      </c>
      <c r="I246" s="2">
        <f t="shared" si="24"/>
        <v>90794.289999999106</v>
      </c>
    </row>
    <row r="247" spans="1:9" x14ac:dyDescent="0.3">
      <c r="A247">
        <f t="shared" si="25"/>
        <v>228</v>
      </c>
      <c r="B247">
        <f t="shared" si="26"/>
        <v>13</v>
      </c>
      <c r="C247" s="2">
        <f t="shared" si="27"/>
        <v>90794.289999999106</v>
      </c>
      <c r="D247" s="2">
        <f t="shared" si="21"/>
        <v>7398.37</v>
      </c>
      <c r="E247" s="3">
        <f>IF(A247&lt;$B$9,$B$3/100/12,$B$10/100/12)</f>
        <v>8.3333333333333332E-3</v>
      </c>
      <c r="F247">
        <f t="shared" si="22"/>
        <v>756.62</v>
      </c>
      <c r="G247" s="2">
        <f t="shared" si="23"/>
        <v>6641.75</v>
      </c>
      <c r="H247" s="2">
        <f>IF(A247=$B$14,$B$15,0)</f>
        <v>0</v>
      </c>
      <c r="I247" s="2">
        <f t="shared" si="24"/>
        <v>84152.539999999106</v>
      </c>
    </row>
    <row r="248" spans="1:9" x14ac:dyDescent="0.3">
      <c r="A248">
        <f t="shared" si="25"/>
        <v>229</v>
      </c>
      <c r="B248">
        <f t="shared" si="26"/>
        <v>12</v>
      </c>
      <c r="C248" s="2">
        <f t="shared" si="27"/>
        <v>84152.539999999106</v>
      </c>
      <c r="D248" s="2">
        <f t="shared" si="21"/>
        <v>7398.37</v>
      </c>
      <c r="E248" s="3">
        <f>IF(A248&lt;$B$9,$B$3/100/12,$B$10/100/12)</f>
        <v>8.3333333333333332E-3</v>
      </c>
      <c r="F248">
        <f t="shared" si="22"/>
        <v>701.27</v>
      </c>
      <c r="G248" s="2">
        <f t="shared" si="23"/>
        <v>6697.1</v>
      </c>
      <c r="H248" s="2">
        <f>IF(A248=$B$14,$B$15,0)</f>
        <v>0</v>
      </c>
      <c r="I248" s="2">
        <f t="shared" si="24"/>
        <v>77455.4399999991</v>
      </c>
    </row>
    <row r="249" spans="1:9" x14ac:dyDescent="0.3">
      <c r="A249">
        <f t="shared" si="25"/>
        <v>230</v>
      </c>
      <c r="B249">
        <f t="shared" si="26"/>
        <v>11</v>
      </c>
      <c r="C249" s="2">
        <f t="shared" si="27"/>
        <v>77455.4399999991</v>
      </c>
      <c r="D249" s="2">
        <f t="shared" si="21"/>
        <v>7398.37</v>
      </c>
      <c r="E249" s="3">
        <f>IF(A249&lt;$B$9,$B$3/100/12,$B$10/100/12)</f>
        <v>8.3333333333333332E-3</v>
      </c>
      <c r="F249">
        <f t="shared" si="22"/>
        <v>645.46</v>
      </c>
      <c r="G249" s="2">
        <f t="shared" si="23"/>
        <v>6752.91</v>
      </c>
      <c r="H249" s="2">
        <f>IF(A249=$B$14,$B$15,0)</f>
        <v>0</v>
      </c>
      <c r="I249" s="2">
        <f t="shared" si="24"/>
        <v>70702.529999999097</v>
      </c>
    </row>
    <row r="250" spans="1:9" x14ac:dyDescent="0.3">
      <c r="A250">
        <f t="shared" si="25"/>
        <v>231</v>
      </c>
      <c r="B250">
        <f t="shared" si="26"/>
        <v>10</v>
      </c>
      <c r="C250" s="2">
        <f t="shared" si="27"/>
        <v>70702.529999999097</v>
      </c>
      <c r="D250" s="2">
        <f t="shared" si="21"/>
        <v>7398.37</v>
      </c>
      <c r="E250" s="3">
        <f>IF(A250&lt;$B$9,$B$3/100/12,$B$10/100/12)</f>
        <v>8.3333333333333332E-3</v>
      </c>
      <c r="F250">
        <f t="shared" si="22"/>
        <v>589.19000000000005</v>
      </c>
      <c r="G250" s="2">
        <f t="shared" si="23"/>
        <v>6809.18</v>
      </c>
      <c r="H250" s="2">
        <f>IF(A250=$B$14,$B$15,0)</f>
        <v>0</v>
      </c>
      <c r="I250" s="2">
        <f t="shared" si="24"/>
        <v>63893.349999999096</v>
      </c>
    </row>
    <row r="251" spans="1:9" x14ac:dyDescent="0.3">
      <c r="A251">
        <f t="shared" si="25"/>
        <v>232</v>
      </c>
      <c r="B251">
        <f t="shared" si="26"/>
        <v>9</v>
      </c>
      <c r="C251" s="2">
        <f t="shared" si="27"/>
        <v>63893.349999999096</v>
      </c>
      <c r="D251" s="2">
        <f t="shared" si="21"/>
        <v>7398.37</v>
      </c>
      <c r="E251" s="3">
        <f>IF(A251&lt;$B$9,$B$3/100/12,$B$10/100/12)</f>
        <v>8.3333333333333332E-3</v>
      </c>
      <c r="F251">
        <f t="shared" si="22"/>
        <v>532.44000000000005</v>
      </c>
      <c r="G251" s="2">
        <f t="shared" si="23"/>
        <v>6865.93</v>
      </c>
      <c r="H251" s="2">
        <f>IF(A251=$B$14,$B$15,0)</f>
        <v>0</v>
      </c>
      <c r="I251" s="2">
        <f t="shared" si="24"/>
        <v>57027.419999999096</v>
      </c>
    </row>
    <row r="252" spans="1:9" x14ac:dyDescent="0.3">
      <c r="A252">
        <f t="shared" si="25"/>
        <v>233</v>
      </c>
      <c r="B252">
        <f t="shared" si="26"/>
        <v>8</v>
      </c>
      <c r="C252" s="2">
        <f t="shared" si="27"/>
        <v>57027.419999999096</v>
      </c>
      <c r="D252" s="2">
        <f t="shared" si="21"/>
        <v>7398.37</v>
      </c>
      <c r="E252" s="3">
        <f>IF(A252&lt;$B$9,$B$3/100/12,$B$10/100/12)</f>
        <v>8.3333333333333332E-3</v>
      </c>
      <c r="F252">
        <f t="shared" si="22"/>
        <v>475.23</v>
      </c>
      <c r="G252" s="2">
        <f t="shared" si="23"/>
        <v>6923.14</v>
      </c>
      <c r="H252" s="2">
        <f>IF(A252=$B$14,$B$15,0)</f>
        <v>0</v>
      </c>
      <c r="I252" s="2">
        <f t="shared" si="24"/>
        <v>50104.279999999097</v>
      </c>
    </row>
    <row r="253" spans="1:9" x14ac:dyDescent="0.3">
      <c r="A253">
        <f t="shared" si="25"/>
        <v>234</v>
      </c>
      <c r="B253">
        <f t="shared" si="26"/>
        <v>7</v>
      </c>
      <c r="C253" s="2">
        <f t="shared" si="27"/>
        <v>50104.279999999097</v>
      </c>
      <c r="D253" s="2">
        <f t="shared" si="21"/>
        <v>7398.37</v>
      </c>
      <c r="E253" s="3">
        <f>IF(A253&lt;$B$9,$B$3/100/12,$B$10/100/12)</f>
        <v>8.3333333333333332E-3</v>
      </c>
      <c r="F253">
        <f t="shared" si="22"/>
        <v>417.54</v>
      </c>
      <c r="G253" s="2">
        <f t="shared" si="23"/>
        <v>6980.83</v>
      </c>
      <c r="H253" s="2">
        <f>IF(A253=$B$14,$B$15,0)</f>
        <v>0</v>
      </c>
      <c r="I253" s="2">
        <f t="shared" si="24"/>
        <v>43123.449999999095</v>
      </c>
    </row>
    <row r="254" spans="1:9" x14ac:dyDescent="0.3">
      <c r="A254">
        <f t="shared" si="25"/>
        <v>235</v>
      </c>
      <c r="B254">
        <f t="shared" si="26"/>
        <v>6</v>
      </c>
      <c r="C254" s="2">
        <f t="shared" si="27"/>
        <v>43123.449999999095</v>
      </c>
      <c r="D254" s="2">
        <f t="shared" si="21"/>
        <v>7398.37</v>
      </c>
      <c r="E254" s="3">
        <f>IF(A254&lt;$B$9,$B$3/100/12,$B$10/100/12)</f>
        <v>8.3333333333333332E-3</v>
      </c>
      <c r="F254">
        <f t="shared" si="22"/>
        <v>359.36</v>
      </c>
      <c r="G254" s="2">
        <f t="shared" si="23"/>
        <v>7039.01</v>
      </c>
      <c r="H254" s="2">
        <f>IF(A254=$B$14,$B$15,0)</f>
        <v>0</v>
      </c>
      <c r="I254" s="2">
        <f t="shared" si="24"/>
        <v>36084.439999999093</v>
      </c>
    </row>
    <row r="255" spans="1:9" x14ac:dyDescent="0.3">
      <c r="A255">
        <f t="shared" si="25"/>
        <v>236</v>
      </c>
      <c r="B255">
        <f t="shared" si="26"/>
        <v>5</v>
      </c>
      <c r="C255" s="2">
        <f t="shared" si="27"/>
        <v>36084.439999999093</v>
      </c>
      <c r="D255" s="2">
        <f t="shared" si="21"/>
        <v>7398.37</v>
      </c>
      <c r="E255" s="3">
        <f>IF(A255&lt;$B$9,$B$3/100/12,$B$10/100/12)</f>
        <v>8.3333333333333332E-3</v>
      </c>
      <c r="F255">
        <f t="shared" si="22"/>
        <v>300.7</v>
      </c>
      <c r="G255" s="2">
        <f t="shared" si="23"/>
        <v>7097.67</v>
      </c>
      <c r="H255" s="2">
        <f>IF(A255=$B$14,$B$15,0)</f>
        <v>0</v>
      </c>
      <c r="I255" s="2">
        <f t="shared" si="24"/>
        <v>28986.769999999095</v>
      </c>
    </row>
    <row r="256" spans="1:9" x14ac:dyDescent="0.3">
      <c r="A256">
        <f t="shared" si="25"/>
        <v>237</v>
      </c>
      <c r="B256">
        <f t="shared" si="26"/>
        <v>4</v>
      </c>
      <c r="C256" s="2">
        <f t="shared" si="27"/>
        <v>28986.769999999095</v>
      </c>
      <c r="D256" s="2">
        <f t="shared" si="21"/>
        <v>7398.37</v>
      </c>
      <c r="E256" s="3">
        <f>IF(A256&lt;$B$9,$B$3/100/12,$B$10/100/12)</f>
        <v>8.3333333333333332E-3</v>
      </c>
      <c r="F256">
        <f t="shared" si="22"/>
        <v>241.56</v>
      </c>
      <c r="G256" s="2">
        <f t="shared" si="23"/>
        <v>7156.81</v>
      </c>
      <c r="H256" s="2">
        <f>IF(A256=$B$14,$B$15,0)</f>
        <v>0</v>
      </c>
      <c r="I256" s="2">
        <f t="shared" si="24"/>
        <v>21829.959999999093</v>
      </c>
    </row>
    <row r="257" spans="1:9" x14ac:dyDescent="0.3">
      <c r="A257">
        <f t="shared" si="25"/>
        <v>238</v>
      </c>
      <c r="B257">
        <f t="shared" si="26"/>
        <v>3</v>
      </c>
      <c r="C257" s="2">
        <f t="shared" si="27"/>
        <v>21829.959999999093</v>
      </c>
      <c r="D257" s="2">
        <f t="shared" si="21"/>
        <v>7398.37</v>
      </c>
      <c r="E257" s="3">
        <f>IF(A257&lt;$B$9,$B$3/100/12,$B$10/100/12)</f>
        <v>8.3333333333333332E-3</v>
      </c>
      <c r="F257">
        <f t="shared" si="22"/>
        <v>181.92</v>
      </c>
      <c r="G257" s="2">
        <f t="shared" si="23"/>
        <v>7216.45</v>
      </c>
      <c r="H257" s="2">
        <f>IF(A257=$B$14,$B$15,0)</f>
        <v>0</v>
      </c>
      <c r="I257" s="2">
        <f t="shared" si="24"/>
        <v>14613.509999999093</v>
      </c>
    </row>
    <row r="258" spans="1:9" x14ac:dyDescent="0.3">
      <c r="A258">
        <f t="shared" si="25"/>
        <v>239</v>
      </c>
      <c r="B258">
        <f t="shared" si="26"/>
        <v>2</v>
      </c>
      <c r="C258" s="2">
        <f t="shared" si="27"/>
        <v>14613.509999999093</v>
      </c>
      <c r="D258" s="2">
        <f t="shared" si="21"/>
        <v>7398.37</v>
      </c>
      <c r="E258" s="3">
        <f>IF(A258&lt;$B$9,$B$3/100/12,$B$10/100/12)</f>
        <v>8.3333333333333332E-3</v>
      </c>
      <c r="F258">
        <f t="shared" si="22"/>
        <v>121.78</v>
      </c>
      <c r="G258" s="2">
        <f t="shared" si="23"/>
        <v>7276.59</v>
      </c>
      <c r="H258" s="2">
        <f>IF(A258=$B$14,$B$15,0)</f>
        <v>0</v>
      </c>
      <c r="I258" s="2">
        <f t="shared" si="24"/>
        <v>7336.9199999990924</v>
      </c>
    </row>
    <row r="259" spans="1:9" x14ac:dyDescent="0.3">
      <c r="A259">
        <f t="shared" si="25"/>
        <v>240</v>
      </c>
      <c r="B259">
        <f t="shared" si="26"/>
        <v>1</v>
      </c>
      <c r="C259" s="2">
        <f t="shared" si="27"/>
        <v>7336.9199999990924</v>
      </c>
      <c r="D259" s="2">
        <f t="shared" si="21"/>
        <v>7398.37</v>
      </c>
      <c r="E259" s="3">
        <f>IF(A259&lt;$B$9,$B$3/100/12,$B$10/100/12)</f>
        <v>8.3333333333333332E-3</v>
      </c>
      <c r="F259">
        <f t="shared" si="22"/>
        <v>61.14</v>
      </c>
      <c r="G259" s="2">
        <f t="shared" si="23"/>
        <v>7336.92</v>
      </c>
      <c r="H259" s="2">
        <f>IF(A259=$B$14,$B$15,0)</f>
        <v>0</v>
      </c>
      <c r="I259" s="2">
        <f t="shared" si="24"/>
        <v>-9.0767571236938238E-10</v>
      </c>
    </row>
    <row r="260" spans="1:9" x14ac:dyDescent="0.3">
      <c r="F260">
        <f>SUM(F20:F259)</f>
        <v>1077402.0899999999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SRIRAM SRIDHAR</dc:creator>
  <cp:lastModifiedBy>SRIRAM SRIDHAR</cp:lastModifiedBy>
  <dcterms:created xsi:type="dcterms:W3CDTF">2026-02-27T19:19:43Z</dcterms:created>
  <dcterms:modified xsi:type="dcterms:W3CDTF">2026-02-27T20:50:07Z</dcterms:modified>
</cp:coreProperties>
</file>